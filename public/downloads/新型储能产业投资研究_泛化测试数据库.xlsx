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304fc5895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5d5ef0ff8284283"/>
    <x:sheet xmlns:r="http://schemas.openxmlformats.org/officeDocument/2006/relationships" name="产业链环节" sheetId="2" r:id="R7570e0ab53914ebd"/>
    <x:sheet xmlns:r="http://schemas.openxmlformats.org/officeDocument/2006/relationships" name="重点产品" sheetId="3" r:id="R90aa805dfabc4f99"/>
    <x:sheet xmlns:r="http://schemas.openxmlformats.org/officeDocument/2006/relationships" name="市场规模及盈利能力" sheetId="4" r:id="R25366e7765094b13"/>
    <x:sheet xmlns:r="http://schemas.openxmlformats.org/officeDocument/2006/relationships" name="核心技术" sheetId="5" r:id="R59c620085d2f4f99"/>
    <x:sheet xmlns:r="http://schemas.openxmlformats.org/officeDocument/2006/relationships" name="区域及产业集群" sheetId="6" r:id="R805de0e080a24fc9"/>
    <x:sheet xmlns:r="http://schemas.openxmlformats.org/officeDocument/2006/relationships" name="政策清单" sheetId="7" r:id="Rda9ea1430a73441a"/>
    <x:sheet xmlns:r="http://schemas.openxmlformats.org/officeDocument/2006/relationships" name="重点企业" sheetId="8" r:id="Rf3a1963c8b6440c3"/>
    <x:sheet xmlns:r="http://schemas.openxmlformats.org/officeDocument/2006/relationships" name="重点项目及融资事件" sheetId="9" r:id="R7ca9d34d735c4dd3"/>
    <x:sheet xmlns:r="http://schemas.openxmlformats.org/officeDocument/2006/relationships" name="产业问题" sheetId="10" r:id="R9b7ed8202c4c4e69"/>
    <x:sheet xmlns:r="http://schemas.openxmlformats.org/officeDocument/2006/relationships" name="实施主体公开资源" sheetId="11" r:id="R0a0e19f537a049c3"/>
    <x:sheet xmlns:r="http://schemas.openxmlformats.org/officeDocument/2006/relationships" name="产品企业及项目综合评分" sheetId="12" r:id="Rfcf197d79c764dbd"/>
    <x:sheet xmlns:r="http://schemas.openxmlformats.org/officeDocument/2006/relationships" name="场景或项目ROI测算" sheetId="13" r:id="R4bd6467a733048e3"/>
    <x:sheet xmlns:r="http://schemas.openxmlformats.org/officeDocument/2006/relationships" name="数据来源索引" sheetId="14" r:id="R73e53192f5f94e34"/>
    <x:sheet xmlns:r="http://schemas.openxmlformats.org/officeDocument/2006/relationships" name="更新变更日志" sheetId="15" r:id="R6d8b4c73fcd1428e"/>
    <x:sheet xmlns:r="http://schemas.openxmlformats.org/officeDocument/2006/relationships" name="数据缺口及待核事项" sheetId="16" r:id="R35c5982022f24535"/>
    <x:sheet xmlns:r="http://schemas.openxmlformats.org/officeDocument/2006/relationships" name="检索过程及饱和度记录" sheetId="17" r:id="Rb278b988fa8d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name val="Arial"/>
    </x:font>
    <x:font>
      <x:sz val="9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4b0f9b1d84d05" /><Relationship Type="http://schemas.openxmlformats.org/officeDocument/2006/relationships/theme" Target="/xl/theme/theme1.xml" Id="R59dfa2d99aa04fc6" /><Relationship Type="http://schemas.openxmlformats.org/officeDocument/2006/relationships/sharedStrings" Target="/xl/sharedStrings.xml" Id="Rf6f2be1e9242477f" /><Relationship Type="http://schemas.openxmlformats.org/officeDocument/2006/relationships/worksheet" Target="/xl/worksheets/sheet1.xml" Id="Re5d5ef0ff8284283" /><Relationship Type="http://schemas.openxmlformats.org/officeDocument/2006/relationships/worksheet" Target="/xl/worksheets/sheet2.xml" Id="R7570e0ab53914ebd" /><Relationship Type="http://schemas.openxmlformats.org/officeDocument/2006/relationships/worksheet" Target="/xl/worksheets/sheet3.xml" Id="R90aa805dfabc4f99" /><Relationship Type="http://schemas.openxmlformats.org/officeDocument/2006/relationships/worksheet" Target="/xl/worksheets/sheet4.xml" Id="R25366e7765094b13" /><Relationship Type="http://schemas.openxmlformats.org/officeDocument/2006/relationships/worksheet" Target="/xl/worksheets/sheet5.xml" Id="R59c620085d2f4f99" /><Relationship Type="http://schemas.openxmlformats.org/officeDocument/2006/relationships/worksheet" Target="/xl/worksheets/sheet6.xml" Id="R805de0e080a24fc9" /><Relationship Type="http://schemas.openxmlformats.org/officeDocument/2006/relationships/worksheet" Target="/xl/worksheets/sheet7.xml" Id="Rda9ea1430a73441a" /><Relationship Type="http://schemas.openxmlformats.org/officeDocument/2006/relationships/worksheet" Target="/xl/worksheets/sheet8.xml" Id="Rf3a1963c8b6440c3" /><Relationship Type="http://schemas.openxmlformats.org/officeDocument/2006/relationships/worksheet" Target="/xl/worksheets/sheet9.xml" Id="R7ca9d34d735c4dd3" /><Relationship Type="http://schemas.openxmlformats.org/officeDocument/2006/relationships/worksheet" Target="/xl/worksheets/sheet10.xml" Id="R9b7ed8202c4c4e69" /><Relationship Type="http://schemas.openxmlformats.org/officeDocument/2006/relationships/worksheet" Target="/xl/worksheets/sheet11.xml" Id="R0a0e19f537a049c3" /><Relationship Type="http://schemas.openxmlformats.org/officeDocument/2006/relationships/worksheet" Target="/xl/worksheets/sheet12.xml" Id="Rfcf197d79c764dbd" /><Relationship Type="http://schemas.openxmlformats.org/officeDocument/2006/relationships/worksheet" Target="/xl/worksheets/sheet13.xml" Id="R4bd6467a733048e3" /><Relationship Type="http://schemas.openxmlformats.org/officeDocument/2006/relationships/worksheet" Target="/xl/worksheets/sheet14.xml" Id="R73e53192f5f94e34" /><Relationship Type="http://schemas.openxmlformats.org/officeDocument/2006/relationships/worksheet" Target="/xl/worksheets/sheet15.xml" Id="R6d8b4c73fcd1428e" /><Relationship Type="http://schemas.openxmlformats.org/officeDocument/2006/relationships/worksheet" Target="/xl/worksheets/sheet16.xml" Id="R35c5982022f24535" /><Relationship Type="http://schemas.openxmlformats.org/officeDocument/2006/relationships/worksheet" Target="/xl/worksheets/sheet17.xml" Id="Rb278b988fa8d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</x:cols>
  <x:sheetData>
    <x:row r="1" ht="15" hidden="0" customHeight="1">
      <x:c r="A1" s="10" t="str">
        <x:v>项目</x:v>
      </x:c>
      <x:c r="B1" s="11" t="str">
        <x:v>值</x:v>
      </x:c>
      <x:c r="C1" s="12" t="str">
        <x:v>说明</x:v>
      </x:c>
    </x:row>
    <x:row r="2" ht="21.600000381469727" hidden="0" customHeight="1">
      <x:c r="A2" s="16" t="str">
        <x:v>产业名称</x:v>
      </x:c>
      <x:c r="B2" s="17" t="str">
        <x:v>新型储能产业</x:v>
      </x:c>
      <x:c r="C2" s="18" t="str">
        <x:v>非养老机器人产业泛化测试</x:v>
      </x:c>
    </x:row>
    <x:row r="3" ht="15" hidden="0" customHeight="1">
      <x:c r="A3" t="str">
        <x:v>实施主体</x:v>
      </x:c>
      <x:c r="B3" t="str">
        <x:v>湖北省地方国资产业投资平台（假设主体）</x:v>
      </x:c>
      <x:c r="C3" t="str">
        <x:v>主体并非真实机构，不推定任何资产或权限</x:v>
      </x:c>
    </x:row>
    <x:row r="4" ht="15" hidden="0" customHeight="1">
      <x:c r="A4" t="str">
        <x:v>核心区域</x:v>
      </x:c>
      <x:c r="B4" t="str">
        <x:v>湖北省</x:v>
      </x:c>
      <x:c r="C4" t="str">
        <x:v>全国扫描，湖南作为市场机制外部参照</x:v>
      </x:c>
    </x:row>
    <x:row r="5" ht="15" hidden="0" customHeight="1">
      <x:c r="A5" t="str">
        <x:v>研究目标</x:v>
      </x:c>
      <x:c r="B5" t="str">
        <x:v>投资方向识别；湖北布局；项目经济性框架</x:v>
      </x:c>
      <x:c r="C5" t="str">
        <x:v>评分权重已切换为能源基础设施逻辑</x:v>
      </x:c>
    </x:row>
    <x:row r="6" ht="15" hidden="0" customHeight="1">
      <x:c r="A6" t="str">
        <x:v>数据截止日</x:v>
      </x:c>
      <x:c r="B6" t="str">
        <x:v>2026-09-11</x:v>
      </x:c>
      <x:c r="C6" t="str">
        <x:v>仅纳入截止日前公开可核验信息</x:v>
      </x:c>
    </x:row>
    <x:row r="7" ht="15" hidden="0" customHeight="1">
      <x:c r="A7" t="str">
        <x:v>证据原则</x:v>
      </x:c>
      <x:c r="B7" t="str">
        <x:v>事实、企业披露、预测、判断与假设分开</x:v>
      </x:c>
      <x:c r="C7" t="str">
        <x:v>所有核心事实均带来源ID和原始链接</x:v>
      </x:c>
    </x:row>
    <x:row r="8" ht="15" hidden="0" customHeight="1">
      <x:c r="A8" t="str">
        <x:v>资源边界</x:v>
      </x:c>
      <x:c r="B8" t="str">
        <x:v>主体自有、可支配、区域公共、外部协同、待核实分开</x:v>
      </x:c>
      <x:c r="C8" t="str">
        <x:v>本测试无内部资料，主体资源全部待核实</x:v>
      </x:c>
    </x:row>
    <x:row r="9" ht="15" hidden="0" customHeight="1">
      <x:c r="A9" t="str">
        <x:v>经济性免责声明</x:v>
      </x:c>
      <x:c r="B9" t="str">
        <x:v>本结果为公开数据基础上的情景框架，不代表任何企业或机构已实现的经营成果。</x:v>
      </x:c>
      <x:c r="C9" t="str">
        <x:v>缺少湖北项目CAPEX与结算规则，因此不输出虚假IRR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5" hidden="0" customWidth="1"/>
    <x:col min="10" max="10" width="19" hidden="0" customWidth="1"/>
    <x:col min="11" max="11" width="11" hidden="0" customWidth="1"/>
    <x:col min="12" max="12" width="11" hidden="0" customWidth="1"/>
    <x:col min="13" max="13" width="11" hidden="0" customWidth="1"/>
    <x:col min="14" max="14" width="28" hidden="0" customWidth="1"/>
    <x:col min="15" max="15" width="11" hidden="0" customWidth="1"/>
    <x:col min="16" max="16" width="11" hidden="0" customWidth="1"/>
    <x:col min="17" max="17" width="15" hidden="0" customWidth="1"/>
    <x:col min="18" max="18" width="11" hidden="0" customWidth="1"/>
    <x:col min="19" max="19" width="11" hidden="0" customWidth="1"/>
    <x:col min="20" max="20" width="13" hidden="0" customWidth="1"/>
    <x:col min="21" max="21" width="11" hidden="0" customWidth="1"/>
  </x:cols>
  <x:sheetData>
    <x:row r="1" ht="15" hidden="0" customHeight="1">
      <x:c r="A1" s="10" t="str">
        <x:v>产业层级</x:v>
      </x:c>
      <x:c r="B1" s="11" t="str">
        <x:v>环节</x:v>
      </x:c>
      <x:c r="C1" s="11" t="str">
        <x:v>产品服务</x:v>
      </x:c>
      <x:c r="D1" s="11" t="str">
        <x:v>代表主体</x:v>
      </x:c>
      <x:c r="E1" s="11" t="str">
        <x:v>成熟度</x:v>
      </x:c>
      <x:c r="F1" s="11" t="str">
        <x:v>投资壁垒</x:v>
      </x:c>
      <x:c r="G1" s="11" t="str">
        <x:v>核心卡点</x:v>
      </x:c>
      <x:c r="H1" s="11" t="str">
        <x:v>成本性能影响</x:v>
      </x:c>
      <x:c r="I1" s="11" t="str">
        <x:v>建议进入方式</x:v>
      </x:c>
      <x:c r="J1" s="11" t="str">
        <x:v>市场盈利代理指标</x:v>
      </x:c>
      <x:c r="K1" s="11" t="str">
        <x:v>记录ID</x:v>
      </x:c>
      <x:c r="L1" s="11" t="str">
        <x:v>来源ID</x:v>
      </x:c>
      <x:c r="M1" s="11" t="str">
        <x:v>发布主体</x:v>
      </x:c>
      <x:c r="N1" s="11" t="str">
        <x:v>来源链接</x:v>
      </x:c>
      <x:c r="O1" s="11" t="str">
        <x:v>发布日期</x:v>
      </x:c>
      <x:c r="P1" s="11" t="str">
        <x:v>查询日期</x:v>
      </x:c>
      <x:c r="Q1" s="11" t="str">
        <x:v>信息更新时间</x:v>
      </x:c>
      <x:c r="R1" s="11" t="str">
        <x:v>可信度</x:v>
      </x:c>
      <x:c r="S1" s="11" t="str">
        <x:v>数据属性</x:v>
      </x:c>
      <x:c r="T1" s="11" t="str">
        <x:v>待核实标记</x:v>
      </x:c>
      <x:c r="U1" s="12" t="str">
        <x:v>备注</x:v>
      </x:c>
    </x:row>
    <x:row r="2" ht="32.400001525878906" hidden="0" customHeight="1">
      <x:c r="A2" s="28" t="str">
        <x:v>上游</x:v>
      </x:c>
      <x:c r="B2" s="29" t="str">
        <x:v>储能电芯与材料</x:v>
      </x:c>
      <x:c r="C2" s="29" t="str">
        <x:v>磷酸铁锂/钠离子等电芯与关键材料</x:v>
      </x:c>
      <x:c r="D2" s="29" t="str">
        <x:v>电池材料及电芯企业</x:v>
      </x:c>
      <x:c r="E2" s="29" t="str">
        <x:v>锂电成熟、钠电导入</x:v>
      </x:c>
      <x:c r="F2" s="29" t="str">
        <x:v>规模、良率、安全与成本</x:v>
      </x:c>
      <x:c r="G2" s="29" t="str">
        <x:v>同质化扩产和价格竞争</x:v>
      </x:c>
      <x:c r="H2" s="29" t="str">
        <x:v>决定系统成本、循环寿命和安全</x:v>
      </x:c>
      <x:c r="I2" s="29" t="str">
        <x:v>对存量龙头做产业协同，谨慎新增同质产能</x:v>
      </x:c>
      <x:c r="J2" s="29" t="str">
        <x:v>单位Wh成本、循环寿命</x:v>
      </x:c>
      <x:c r="K2" s="29" t="str">
        <x:v>R001</x:v>
      </x:c>
      <x:c r="L2" s="29" t="str">
        <x:v>S02</x:v>
      </x:c>
      <x:c r="M2" s="29" t="str">
        <x:v>工业和信息化部等八部门</x:v>
      </x:c>
      <x:c r="N2" s="29" t="str">
        <x:v>https://www.miit.gov.cn/zwgk/zcjd/art/2025/art_d2cdb0db114246dab18d95b2ff2a2824.html</x:v>
      </x:c>
      <x:c r="O2" s="29" t="str">
        <x:v>2025-02-17</x:v>
      </x:c>
      <x:c r="P2" s="29" t="str">
        <x:v>2026-09-11</x:v>
      </x:c>
      <x:c r="Q2" s="29" t="str">
        <x:v>2026-09-11</x:v>
      </x:c>
      <x:c r="R2" s="29" t="str">
        <x:v>A</x:v>
      </x:c>
      <x:c r="S2" s="29" t="str">
        <x:v>事实</x:v>
      </x:c>
      <x:c r="T2" s="29" t="str">
        <x:v>否</x:v>
      </x:c>
      <x:c r="U2" s="29" t="str"/>
    </x:row>
    <x:row r="3" ht="21.600000381469727" hidden="0" customHeight="1">
      <x:c r="A3" s="30" t="str">
        <x:v>中游</x:v>
      </x:c>
      <x:c r="B3" s="31" t="str">
        <x:v>功率与控制系统</x:v>
      </x:c>
      <x:c r="C3" s="31" t="str">
        <x:v>PCS、BMS、EMS、热管理、消防</x:v>
      </x:c>
      <x:c r="D3" s="31" t="str">
        <x:v>电力电子及控制企业</x:v>
      </x:c>
      <x:c r="E3" s="31" t="str">
        <x:v>成熟度分化</x:v>
      </x:c>
      <x:c r="F3" s="31" t="str">
        <x:v>构网控制、系统耦合和安全</x:v>
      </x:c>
      <x:c r="G3" s="31" t="str">
        <x:v>多系统联调与标准适配</x:v>
      </x:c>
      <x:c r="H3" s="31" t="str">
        <x:v>决定效率、并网友好性和事故率</x:v>
      </x:c>
      <x:c r="I3" s="31" t="str">
        <x:v>优先投系统控制与安全能力</x:v>
      </x:c>
      <x:c r="J3" s="31" t="str">
        <x:v>转换效率、故障率</x:v>
      </x:c>
      <x:c r="K3" s="31" t="str">
        <x:v>R002</x:v>
      </x:c>
      <x:c r="L3" s="31" t="str">
        <x:v>S02</x:v>
      </x:c>
      <x:c r="M3" s="31" t="str">
        <x:v>工业和信息化部等八部门</x:v>
      </x:c>
      <x:c r="N3" s="31" t="str">
        <x:v>https://www.miit.gov.cn/zwgk/zcjd/art/2025/art_d2cdb0db114246dab18d95b2ff2a2824.html</x:v>
      </x:c>
      <x:c r="O3" s="31" t="str">
        <x:v>2025-02-17</x:v>
      </x:c>
      <x:c r="P3" s="31" t="str">
        <x:v>2026-09-11</x:v>
      </x:c>
      <x:c r="Q3" s="31" t="str">
        <x:v>2026-09-11</x:v>
      </x:c>
      <x:c r="R3" s="31" t="str">
        <x:v>A</x:v>
      </x:c>
      <x:c r="S3" s="31" t="str">
        <x:v>事实</x:v>
      </x:c>
      <x:c r="T3" s="31" t="str">
        <x:v>否</x:v>
      </x:c>
      <x:c r="U3" s="31" t="str"/>
    </x:row>
    <x:row r="4" ht="32.400001525878906" hidden="0" customHeight="1">
      <x:c r="A4" s="28" t="str">
        <x:v>中游</x:v>
      </x:c>
      <x:c r="B4" s="29" t="str">
        <x:v>储能系统集成</x:v>
      </x:c>
      <x:c r="C4" s="29" t="str">
        <x:v>电池舱、升压站和站级控制</x:v>
      </x:c>
      <x:c r="D4" s="29" t="str">
        <x:v>系统集成商</x:v>
      </x:c>
      <x:c r="E4" s="29" t="str">
        <x:v>商业化</x:v>
      </x:c>
      <x:c r="F4" s="29" t="str">
        <x:v>工程经验、供应链、认证和银行可融资性</x:v>
      </x:c>
      <x:c r="G4" s="29" t="str">
        <x:v>集成低价竞争与质量责任</x:v>
      </x:c>
      <x:c r="H4" s="29" t="str">
        <x:v>直接影响可用率与全生命周期成本</x:v>
      </x:c>
      <x:c r="I4" s="29" t="str">
        <x:v>股权+示范项目双验证</x:v>
      </x:c>
      <x:c r="J4" s="29" t="str">
        <x:v>可用率、项目毛利、质保计提</x:v>
      </x:c>
      <x:c r="K4" s="29" t="str">
        <x:v>R003</x:v>
      </x:c>
      <x:c r="L4" s="29" t="str">
        <x:v>S01</x:v>
      </x:c>
      <x:c r="M4" s="29" t="str">
        <x:v>国家能源局</x:v>
      </x:c>
      <x:c r="N4" s="29" t="str">
        <x:v>https://www.nea.gov.cn/20260130/50f657ce87f848e1a9a1861d1fd9aa23/c.html</x:v>
      </x:c>
      <x:c r="O4" s="29" t="str">
        <x:v>2026-01-30</x:v>
      </x:c>
      <x:c r="P4" s="29" t="str">
        <x:v>2026-09-11</x:v>
      </x:c>
      <x:c r="Q4" s="29" t="str">
        <x:v>2026-09-11</x:v>
      </x:c>
      <x:c r="R4" s="29" t="str">
        <x:v>A</x:v>
      </x:c>
      <x:c r="S4" s="29" t="str">
        <x:v>事实</x:v>
      </x:c>
      <x:c r="T4" s="29" t="str">
        <x:v>否</x:v>
      </x:c>
      <x:c r="U4" s="29" t="str"/>
    </x:row>
    <x:row r="5" ht="21.600000381469727" hidden="0" customHeight="1">
      <x:c r="A5" s="30" t="str">
        <x:v>下游</x:v>
      </x:c>
      <x:c r="B5" s="31" t="str">
        <x:v>储能电站开发建设</x:v>
      </x:c>
      <x:c r="C5" s="31" t="str">
        <x:v>选址、接入、EPC、验收</x:v>
      </x:c>
      <x:c r="D5" s="31" t="str">
        <x:v>能源企业、开发商、EPC</x:v>
      </x:c>
      <x:c r="E5" s="31" t="str">
        <x:v>商业化</x:v>
      </x:c>
      <x:c r="F5" s="31" t="str">
        <x:v>电网接入、资本金和项目管理</x:v>
      </x:c>
      <x:c r="G5" s="31" t="str">
        <x:v>建设周期、并网与结算规则</x:v>
      </x:c>
      <x:c r="H5" s="31" t="str">
        <x:v>决定项目投产时间和资本效率</x:v>
      </x:c>
      <x:c r="I5" s="31" t="str">
        <x:v>以项目资本金/基金工具参与</x:v>
      </x:c>
      <x:c r="J5" s="31" t="str">
        <x:v>单位投资、建设周期</x:v>
      </x:c>
      <x:c r="K5" s="31" t="str">
        <x:v>R004</x:v>
      </x:c>
      <x:c r="L5" s="31" t="str">
        <x:v>S09</x:v>
      </x:c>
      <x:c r="M5" s="31" t="str">
        <x:v>国家发展改革委、国家能源局</x:v>
      </x:c>
      <x:c r="N5" s="31" t="str">
        <x:v>https://zfxxgk.ndrc.gov.cn/web/iteminfo.jsp?id=20539</x:v>
      </x:c>
      <x:c r="O5" s="31" t="str">
        <x:v>2025-09-12</x:v>
      </x:c>
      <x:c r="P5" s="31" t="str">
        <x:v>2026-09-11</x:v>
      </x:c>
      <x:c r="Q5" s="31" t="str">
        <x:v>2026-09-11</x:v>
      </x:c>
      <x:c r="R5" s="31" t="str">
        <x:v>A</x:v>
      </x:c>
      <x:c r="S5" s="31" t="str">
        <x:v>事实</x:v>
      </x:c>
      <x:c r="T5" s="31" t="str">
        <x:v>否</x:v>
      </x:c>
      <x:c r="U5" s="31" t="str"/>
    </x:row>
    <x:row r="6" ht="32.400001525878906" hidden="0" customHeight="1">
      <x:c r="A6" s="28" t="str">
        <x:v>运营服务</x:v>
      </x:c>
      <x:c r="B6" s="29" t="str">
        <x:v>电站运营与电力交易</x:v>
      </x:c>
      <x:c r="C6" s="29" t="str">
        <x:v>调度、现货、辅助服务、容量租赁</x:v>
      </x:c>
      <x:c r="D6" s="29" t="str">
        <x:v>运营商、售电与聚合商</x:v>
      </x:c>
      <x:c r="E6" s="29" t="str">
        <x:v>市场机制演进</x:v>
      </x:c>
      <x:c r="F6" s="29" t="str">
        <x:v>交易能力、预测能力、规则理解</x:v>
      </x:c>
      <x:c r="G6" s="29" t="str">
        <x:v>收益叠加边界与市场波动</x:v>
      </x:c>
      <x:c r="H6" s="29" t="str">
        <x:v>决定长期现金流而非设备一次性收入</x:v>
      </x:c>
      <x:c r="I6" s="29" t="str">
        <x:v>先签收益机制再投项目</x:v>
      </x:c>
      <x:c r="J6" s="29" t="str">
        <x:v>利用小时、度电收益</x:v>
      </x:c>
      <x:c r="K6" s="29" t="str">
        <x:v>R005</x:v>
      </x:c>
      <x:c r="L6" s="29" t="str">
        <x:v>S07</x:v>
      </x:c>
      <x:c r="M6" s="29" t="str">
        <x:v>湖南能源监管办（国家能源局网站）</x:v>
      </x:c>
      <x:c r="N6" s="29" t="str">
        <x:v>https://www.nea.gov.cn/20251114/4f1068f616e945d282655926b6bac54f/c.html</x:v>
      </x:c>
      <x:c r="O6" s="29" t="str">
        <x:v>2025-11-14</x:v>
      </x:c>
      <x:c r="P6" s="29" t="str">
        <x:v>2026-09-11</x:v>
      </x:c>
      <x:c r="Q6" s="29" t="str">
        <x:v>2026-09-11</x:v>
      </x:c>
      <x:c r="R6" s="29" t="str">
        <x:v>B</x:v>
      </x:c>
      <x:c r="S6" s="29" t="str">
        <x:v>外部可比事实</x:v>
      </x:c>
      <x:c r="T6" s="29" t="str">
        <x:v>否</x:v>
      </x:c>
      <x:c r="U6" s="29" t="str">
        <x:v>湖南机制仅作外部参照，不代表湖北可复制</x:v>
      </x:c>
    </x:row>
    <x:row r="7" ht="32.400001525878906" hidden="0" customHeight="1">
      <x:c r="A7" s="32" t="str">
        <x:v>安全服务</x:v>
      </x:c>
      <x:c r="B7" s="33" t="str">
        <x:v>全生命周期安全与监测</x:v>
      </x:c>
      <x:c r="C7" s="33" t="str">
        <x:v>安全监测、检测、保险、退役回收</x:v>
      </x:c>
      <x:c r="D7" s="33" t="str">
        <x:v>检测认证与数字化安全企业</x:v>
      </x:c>
      <x:c r="E7" s="33" t="str">
        <x:v>标准加速完善</x:v>
      </x:c>
      <x:c r="F7" s="33" t="str">
        <x:v>数据闭环、标准和责任界面</x:v>
      </x:c>
      <x:c r="G7" s="33" t="str">
        <x:v>事故追溯与退役责任</x:v>
      </x:c>
      <x:c r="H7" s="33" t="str">
        <x:v>影响准入、保险和资产残值</x:v>
      </x:c>
      <x:c r="I7" s="33" t="str">
        <x:v>作为所有投资的底层门槛</x:v>
      </x:c>
      <x:c r="J7" s="33" t="str">
        <x:v>预警准确率、事故率</x:v>
      </x:c>
      <x:c r="K7" s="33" t="str">
        <x:v>R006</x:v>
      </x:c>
      <x:c r="L7" s="33" t="str">
        <x:v>S05</x:v>
      </x:c>
      <x:c r="M7" s="33" t="str">
        <x:v>国家市场监督管理总局、国家标准化管理委员会</x:v>
      </x:c>
      <x:c r="N7" s="33" t="str">
        <x:v>https://openstd.samr.gov.cn/bzgk/std/newGbInfo?hcno=5FA0CEFF0CF542D232EA0E89905DB6E4</x:v>
      </x:c>
      <x:c r="O7" s="33" t="str">
        <x:v>2024-10-26</x:v>
      </x:c>
      <x:c r="P7" s="33" t="str">
        <x:v>2026-09-11</x:v>
      </x:c>
      <x:c r="Q7" s="33" t="str">
        <x:v>2026-09-11</x:v>
      </x:c>
      <x:c r="R7" s="33" t="str">
        <x:v>A</x:v>
      </x:c>
      <x:c r="S7" s="33" t="str">
        <x:v>事实</x:v>
      </x:c>
      <x:c r="T7" s="33" t="str">
        <x:v>否</x:v>
      </x:c>
      <x:c r="U7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3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11" hidden="0" customWidth="1"/>
    <x:col min="21" max="21" width="11" hidden="0" customWidth="1"/>
    <x:col min="22" max="22" width="15" hidden="0" customWidth="1"/>
    <x:col min="23" max="23" width="11" hidden="0" customWidth="1"/>
    <x:col min="24" max="24" width="11" hidden="0" customWidth="1"/>
    <x:col min="25" max="25" width="13" hidden="0" customWidth="1"/>
    <x:col min="26" max="26" width="11" hidden="0" customWidth="1"/>
  </x:cols>
  <x:sheetData>
    <x:row r="1" ht="15" hidden="0" customHeight="1">
      <x:c r="A1" s="10" t="str">
        <x:v>产品方向</x:v>
      </x:c>
      <x:c r="B1" s="11" t="str">
        <x:v>具体产品</x:v>
      </x:c>
      <x:c r="C1" s="11" t="str">
        <x:v>目标用户</x:v>
      </x:c>
      <x:c r="D1" s="11" t="str">
        <x:v>核心任务</x:v>
      </x:c>
      <x:c r="E1" s="11" t="str">
        <x:v>应用场景</x:v>
      </x:c>
      <x:c r="F1" s="11" t="str">
        <x:v>核心功能</x:v>
      </x:c>
      <x:c r="G1" s="11" t="str">
        <x:v>使用主体</x:v>
      </x:c>
      <x:c r="H1" s="11" t="str">
        <x:v>采购主体</x:v>
      </x:c>
      <x:c r="I1" s="11" t="str">
        <x:v>付费主体</x:v>
      </x:c>
      <x:c r="J1" s="11" t="str">
        <x:v>商业模式</x:v>
      </x:c>
      <x:c r="K1" s="11" t="str">
        <x:v>公开价格</x:v>
      </x:c>
      <x:c r="L1" s="11" t="str">
        <x:v>资质</x:v>
      </x:c>
      <x:c r="M1" s="11" t="str">
        <x:v>商业进展</x:v>
      </x:c>
      <x:c r="N1" s="11" t="str">
        <x:v>阶段</x:v>
      </x:c>
      <x:c r="O1" s="11" t="str">
        <x:v>产品优先级</x:v>
      </x:c>
      <x:c r="P1" s="11" t="str">
        <x:v>记录ID</x:v>
      </x:c>
      <x:c r="Q1" s="11" t="str">
        <x:v>来源ID</x:v>
      </x:c>
      <x:c r="R1" s="11" t="str">
        <x:v>发布主体</x:v>
      </x:c>
      <x:c r="S1" s="11" t="str">
        <x:v>来源链接</x:v>
      </x:c>
      <x:c r="T1" s="11" t="str">
        <x:v>发布日期</x:v>
      </x:c>
      <x:c r="U1" s="11" t="str">
        <x:v>查询日期</x:v>
      </x:c>
      <x:c r="V1" s="11" t="str">
        <x:v>信息更新时间</x:v>
      </x:c>
      <x:c r="W1" s="11" t="str">
        <x:v>可信度</x:v>
      </x:c>
      <x:c r="X1" s="11" t="str">
        <x:v>数据属性</x:v>
      </x:c>
      <x:c r="Y1" s="11" t="str">
        <x:v>待核实标记</x:v>
      </x:c>
      <x:c r="Z1" s="12" t="str">
        <x:v>备注</x:v>
      </x:c>
    </x:row>
    <x:row r="2" ht="32.400001525878906" hidden="0" customHeight="1">
      <x:c r="A2" s="28" t="str">
        <x:v>短中时储能</x:v>
      </x:c>
      <x:c r="B2" s="29" t="str">
        <x:v>锂离子电池储能系统</x:v>
      </x:c>
      <x:c r="C2" s="29" t="str">
        <x:v>电网/新能源业主/工商业用户</x:v>
      </x:c>
      <x:c r="D2" s="29" t="str">
        <x:v>削峰填谷、调频、消纳</x:v>
      </x:c>
      <x:c r="E2" s="29" t="str">
        <x:v>独立储能、电源侧、电网侧、用户侧</x:v>
      </x:c>
      <x:c r="F2" s="29" t="str">
        <x:v>快速响应与能量搬移</x:v>
      </x:c>
      <x:c r="G2" s="29" t="str">
        <x:v>电站运营商</x:v>
      </x:c>
      <x:c r="H2" s="29" t="str">
        <x:v>能源企业/项目公司</x:v>
      </x:c>
      <x:c r="I2" s="29" t="str">
        <x:v>电力市场或用能主体</x:v>
      </x:c>
      <x:c r="J2" s="29" t="str">
        <x:v>设备销售+EPC+运营</x:v>
      </x:c>
      <x:c r="K2" s="29" t="str">
        <x:v>待项目询价</x:v>
      </x:c>
      <x:c r="L2" s="29" t="str">
        <x:v>并网、安全、消防等</x:v>
      </x:c>
      <x:c r="M2" s="29" t="str">
        <x:v>全国装机主导路线</x:v>
      </x:c>
      <x:c r="N2" s="29" t="str">
        <x:v>规模化</x:v>
      </x:c>
      <x:c r="O2" s="29" t="str">
        <x:v>A-条件优先</x:v>
      </x:c>
      <x:c r="P2" s="29" t="str">
        <x:v>R007</x:v>
      </x:c>
      <x:c r="Q2" s="29" t="str">
        <x:v>S01</x:v>
      </x:c>
      <x:c r="R2" s="29" t="str">
        <x:v>国家能源局</x:v>
      </x:c>
      <x:c r="S2" s="29" t="str">
        <x:v>https://www.nea.gov.cn/20260130/50f657ce87f848e1a9a1861d1fd9aa23/c.html</x:v>
      </x:c>
      <x:c r="T2" s="29" t="str">
        <x:v>2026-01-30</x:v>
      </x:c>
      <x:c r="U2" s="29" t="str">
        <x:v>2026-09-11</x:v>
      </x:c>
      <x:c r="V2" s="29" t="str">
        <x:v>2026-09-11</x:v>
      </x:c>
      <x:c r="W2" s="29" t="str">
        <x:v>A</x:v>
      </x:c>
      <x:c r="X2" s="29" t="str">
        <x:v>事实</x:v>
      </x:c>
      <x:c r="Y2" s="29" t="str">
        <x:v>否</x:v>
      </x:c>
      <x:c r="Z2" s="29" t="str"/>
    </x:row>
    <x:row r="3" ht="32.400001525878906" hidden="0" customHeight="1">
      <x:c r="A3" s="30" t="str">
        <x:v>长时储能</x:v>
      </x:c>
      <x:c r="B3" s="31" t="str">
        <x:v>全钒液流电池储能系统</x:v>
      </x:c>
      <x:c r="C3" s="31" t="str">
        <x:v>电网与大型能源项目</x:v>
      </x:c>
      <x:c r="D3" s="31" t="str">
        <x:v>4小时及以上能量搬移</x:v>
      </x:c>
      <x:c r="E3" s="31" t="str">
        <x:v>独立储能/新能源基地</x:v>
      </x:c>
      <x:c r="F3" s="31" t="str">
        <x:v>长时放电与本征安全特征</x:v>
      </x:c>
      <x:c r="G3" s="31" t="str">
        <x:v>电站运营商</x:v>
      </x:c>
      <x:c r="H3" s="31" t="str">
        <x:v>能源企业/地方平台</x:v>
      </x:c>
      <x:c r="I3" s="31" t="str">
        <x:v>电力市场或容量使用方</x:v>
      </x:c>
      <x:c r="J3" s="31" t="str">
        <x:v>设备+项目开发</x:v>
      </x:c>
      <x:c r="K3" s="31" t="str">
        <x:v>待项目询价</x:v>
      </x:c>
      <x:c r="L3" s="31" t="str">
        <x:v>并网、安全、环保等</x:v>
      </x:c>
      <x:c r="M3" s="31" t="str">
        <x:v>宜昌50MW项目部分并网</x:v>
      </x:c>
      <x:c r="N3" s="31" t="str">
        <x:v>示范转规模</x:v>
      </x:c>
      <x:c r="O3" s="31" t="str">
        <x:v>A-项目验证</x:v>
      </x:c>
      <x:c r="P3" s="31" t="str">
        <x:v>R008</x:v>
      </x:c>
      <x:c r="Q3" s="31" t="str">
        <x:v>S04</x:v>
      </x:c>
      <x:c r="R3" s="31" t="str">
        <x:v>湖北省经济和信息化厅（转载湖北日报）</x:v>
      </x:c>
      <x:c r="S3" s="31" t="str">
        <x:v>https://jxt.hubei.gov.cn/bmdt/szgz/202601/t20260121_5860531.shtml</x:v>
      </x:c>
      <x:c r="T3" s="31" t="str">
        <x:v>2026-01-21</x:v>
      </x:c>
      <x:c r="U3" s="31" t="str">
        <x:v>2026-09-11</x:v>
      </x:c>
      <x:c r="V3" s="31" t="str">
        <x:v>2026-09-11</x:v>
      </x:c>
      <x:c r="W3" s="31" t="str">
        <x:v>A</x:v>
      </x:c>
      <x:c r="X3" s="31" t="str">
        <x:v>事实</x:v>
      </x:c>
      <x:c r="Y3" s="31" t="str">
        <x:v>否</x:v>
      </x:c>
      <x:c r="Z3" s="31" t="str"/>
    </x:row>
    <x:row r="4" ht="21.600000381469727" hidden="0" customHeight="1">
      <x:c r="A4" s="28" t="str">
        <x:v>长时储能</x:v>
      </x:c>
      <x:c r="B4" s="29" t="str">
        <x:v>压缩空气储能系统</x:v>
      </x:c>
      <x:c r="C4" s="29" t="str">
        <x:v>电网与大型能源基地</x:v>
      </x:c>
      <x:c r="D4" s="29" t="str">
        <x:v>长周期能量搬移</x:v>
      </x:c>
      <x:c r="E4" s="29" t="str">
        <x:v>大型独立储能</x:v>
      </x:c>
      <x:c r="F4" s="29" t="str">
        <x:v>机械储能与规模化容量</x:v>
      </x:c>
      <x:c r="G4" s="29" t="str">
        <x:v>项目运营商</x:v>
      </x:c>
      <x:c r="H4" s="29" t="str">
        <x:v>能源企业/项目公司</x:v>
      </x:c>
      <x:c r="I4" s="29" t="str">
        <x:v>电力市场</x:v>
      </x:c>
      <x:c r="J4" s="29" t="str">
        <x:v>重大装备+EPC+运营</x:v>
      </x:c>
      <x:c r="K4" s="29" t="str">
        <x:v>待项目询价</x:v>
      </x:c>
      <x:c r="L4" s="29" t="str">
        <x:v>地质、建设、并网等</x:v>
      </x:c>
      <x:c r="M4" s="29" t="str">
        <x:v>全国占比仍较低</x:v>
      </x:c>
      <x:c r="N4" s="29" t="str">
        <x:v>示范期</x:v>
      </x:c>
      <x:c r="O4" s="29" t="str">
        <x:v>B-专题跟踪</x:v>
      </x:c>
      <x:c r="P4" s="29" t="str">
        <x:v>R009</x:v>
      </x:c>
      <x:c r="Q4" s="29" t="str">
        <x:v>S01</x:v>
      </x:c>
      <x:c r="R4" s="29" t="str">
        <x:v>国家能源局</x:v>
      </x:c>
      <x:c r="S4" s="29" t="str">
        <x:v>https://www.nea.gov.cn/20260130/50f657ce87f848e1a9a1861d1fd9aa23/c.html</x:v>
      </x:c>
      <x:c r="T4" s="29" t="str">
        <x:v>2026-01-30</x:v>
      </x:c>
      <x:c r="U4" s="29" t="str">
        <x:v>2026-09-11</x:v>
      </x:c>
      <x:c r="V4" s="29" t="str">
        <x:v>2026-09-11</x:v>
      </x:c>
      <x:c r="W4" s="29" t="str">
        <x:v>A</x:v>
      </x:c>
      <x:c r="X4" s="29" t="str">
        <x:v>事实</x:v>
      </x:c>
      <x:c r="Y4" s="29" t="str">
        <x:v>否</x:v>
      </x:c>
      <x:c r="Z4" s="29" t="str"/>
    </x:row>
    <x:row r="5" ht="32.400001525878906" hidden="0" customHeight="1">
      <x:c r="A5" s="32" t="str">
        <x:v>新型电池</x:v>
      </x:c>
      <x:c r="B5" s="33" t="str">
        <x:v>钠离子电池储能系统</x:v>
      </x:c>
      <x:c r="C5" s="33" t="str">
        <x:v>工商业及电网用户</x:v>
      </x:c>
      <x:c r="D5" s="33" t="str">
        <x:v>降低资源约束、拓展温区</x:v>
      </x:c>
      <x:c r="E5" s="33" t="str">
        <x:v>用户侧/电源侧试点</x:v>
      </x:c>
      <x:c r="F5" s="33" t="str">
        <x:v>新体系电池储能</x:v>
      </x:c>
      <x:c r="G5" s="33" t="str">
        <x:v>项目运营商</x:v>
      </x:c>
      <x:c r="H5" s="33" t="str">
        <x:v>能源企业/工商业用户</x:v>
      </x:c>
      <x:c r="I5" s="33" t="str">
        <x:v>用能主体/电力市场</x:v>
      </x:c>
      <x:c r="J5" s="33" t="str">
        <x:v>设备销售+示范</x:v>
      </x:c>
      <x:c r="K5" s="33" t="str">
        <x:v>待项目询价</x:v>
      </x:c>
      <x:c r="L5" s="33" t="str">
        <x:v>产品认证与并网安全</x:v>
      </x:c>
      <x:c r="M5" s="33" t="str">
        <x:v>政策鼓励多元路线，经济性待验证</x:v>
      </x:c>
      <x:c r="N5" s="33" t="str">
        <x:v>导入期</x:v>
      </x:c>
      <x:c r="O5" s="33" t="str">
        <x:v>B-小额里程碑</x:v>
      </x:c>
      <x:c r="P5" s="33" t="str">
        <x:v>R010</x:v>
      </x:c>
      <x:c r="Q5" s="33" t="str">
        <x:v>S02</x:v>
      </x:c>
      <x:c r="R5" s="33" t="str">
        <x:v>工业和信息化部等八部门</x:v>
      </x:c>
      <x:c r="S5" s="33" t="str">
        <x:v>https://www.miit.gov.cn/zwgk/zcjd/art/2025/art_d2cdb0db114246dab18d95b2ff2a2824.html</x:v>
      </x:c>
      <x:c r="T5" s="33" t="str">
        <x:v>2025-02-17</x:v>
      </x:c>
      <x:c r="U5" s="33" t="str">
        <x:v>2026-09-11</x:v>
      </x:c>
      <x:c r="V5" s="33" t="str">
        <x:v>2026-09-11</x:v>
      </x:c>
      <x:c r="W5" s="33" t="str">
        <x:v>A</x:v>
      </x:c>
      <x:c r="X5" s="33" t="str">
        <x:v>事实</x:v>
      </x:c>
      <x:c r="Y5" s="33" t="str">
        <x:v>否</x:v>
      </x:c>
      <x:c r="Z5" s="3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3" hidden="0" customWidth="1"/>
    <x:col min="10" max="10" width="11" hidden="0" customWidth="1"/>
    <x:col min="11" max="11" width="11" hidden="0" customWidth="1"/>
    <x:col min="12" max="12" width="11" hidden="0" customWidth="1"/>
    <x:col min="13" max="13" width="28" hidden="0" customWidth="1"/>
    <x:col min="14" max="14" width="11" hidden="0" customWidth="1"/>
    <x:col min="15" max="15" width="11" hidden="0" customWidth="1"/>
    <x:col min="16" max="16" width="15" hidden="0" customWidth="1"/>
    <x:col min="17" max="17" width="11" hidden="0" customWidth="1"/>
    <x:col min="18" max="18" width="11" hidden="0" customWidth="1"/>
    <x:col min="19" max="19" width="13" hidden="0" customWidth="1"/>
    <x:col min="20" max="20" width="11" hidden="0" customWidth="1"/>
  </x:cols>
  <x:sheetData>
    <x:row r="1" ht="15" hidden="0" customHeight="1">
      <x:c r="A1" s="10" t="str">
        <x:v>指标</x:v>
      </x:c>
      <x:c r="B1" s="11" t="str">
        <x:v>统计口径</x:v>
      </x:c>
      <x:c r="C1" s="11" t="str">
        <x:v>年份</x:v>
      </x:c>
      <x:c r="D1" s="11" t="str">
        <x:v>地区</x:v>
      </x:c>
      <x:c r="E1" s="11" t="str">
        <x:v>数值</x:v>
      </x:c>
      <x:c r="F1" s="11" t="str">
        <x:v>单位</x:v>
      </x:c>
      <x:c r="G1" s="11" t="str">
        <x:v>同比增速</x:v>
      </x:c>
      <x:c r="H1" s="11" t="str">
        <x:v>实际预测情景</x:v>
      </x:c>
      <x:c r="I1" s="11" t="str">
        <x:v>可比性说明</x:v>
      </x:c>
      <x:c r="J1" s="11" t="str">
        <x:v>记录ID</x:v>
      </x:c>
      <x:c r="K1" s="11" t="str">
        <x:v>来源ID</x:v>
      </x:c>
      <x:c r="L1" s="11" t="str">
        <x:v>发布主体</x:v>
      </x:c>
      <x:c r="M1" s="11" t="str">
        <x:v>来源链接</x:v>
      </x:c>
      <x:c r="N1" s="11" t="str">
        <x:v>发布日期</x:v>
      </x:c>
      <x:c r="O1" s="11" t="str">
        <x:v>查询日期</x:v>
      </x:c>
      <x:c r="P1" s="11" t="str">
        <x:v>信息更新时间</x:v>
      </x:c>
      <x:c r="Q1" s="11" t="str">
        <x:v>可信度</x:v>
      </x:c>
      <x:c r="R1" s="11" t="str">
        <x:v>数据属性</x:v>
      </x:c>
      <x:c r="S1" s="11" t="str">
        <x:v>待核实标记</x:v>
      </x:c>
      <x:c r="T1" s="12" t="str">
        <x:v>备注</x:v>
      </x:c>
    </x:row>
    <x:row r="2" ht="21.600000381469727" hidden="0" customHeight="1">
      <x:c r="A2" s="28" t="str">
        <x:v>全国已投运新型储能装机功率</x:v>
      </x:c>
      <x:c r="B2" s="29" t="str">
        <x:v>截至年末、已建成投运</x:v>
      </x:c>
      <x:c r="C2" s="29" t="n">
        <x:v>2025</x:v>
      </x:c>
      <x:c r="D2" s="29" t="str">
        <x:v>全国</x:v>
      </x:c>
      <x:c r="E2" s="29" t="n">
        <x:v>136</x:v>
      </x:c>
      <x:c r="F2" s="29" t="str">
        <x:v>GW</x:v>
      </x:c>
      <x:c r="G2" s="29" t="str">
        <x:v>84%</x:v>
      </x:c>
      <x:c r="H2" s="29" t="str">
        <x:v>实际</x:v>
      </x:c>
      <x:c r="I2" s="29" t="str">
        <x:v>国家能源局口径</x:v>
      </x:c>
      <x:c r="J2" s="29" t="str">
        <x:v>R011</x:v>
      </x:c>
      <x:c r="K2" s="29" t="str">
        <x:v>S01</x:v>
      </x:c>
      <x:c r="L2" s="29" t="str">
        <x:v>国家能源局</x:v>
      </x:c>
      <x:c r="M2" s="29" t="str">
        <x:v>https://www.nea.gov.cn/20260130/50f657ce87f848e1a9a1861d1fd9aa23/c.html</x:v>
      </x:c>
      <x:c r="N2" s="29" t="str">
        <x:v>2026-01-30</x:v>
      </x:c>
      <x:c r="O2" s="29" t="str">
        <x:v>2026-09-11</x:v>
      </x:c>
      <x:c r="P2" s="29" t="str">
        <x:v>2026-09-11</x:v>
      </x:c>
      <x:c r="Q2" s="29" t="str">
        <x:v>A</x:v>
      </x:c>
      <x:c r="R2" s="29" t="str">
        <x:v>事实</x:v>
      </x:c>
      <x:c r="S2" s="29" t="str">
        <x:v>否</x:v>
      </x:c>
      <x:c r="T2" s="29" t="str"/>
    </x:row>
    <x:row r="3" ht="21.600000381469727" hidden="0" customHeight="1">
      <x:c r="A3" s="30" t="str">
        <x:v>全国已投运新型储能容量</x:v>
      </x:c>
      <x:c r="B3" s="31" t="str">
        <x:v>截至年末、已建成投运</x:v>
      </x:c>
      <x:c r="C3" s="31" t="n">
        <x:v>2025</x:v>
      </x:c>
      <x:c r="D3" s="31" t="str">
        <x:v>全国</x:v>
      </x:c>
      <x:c r="E3" s="31" t="n">
        <x:v>351</x:v>
      </x:c>
      <x:c r="F3" s="31" t="str">
        <x:v>GWh</x:v>
      </x:c>
      <x:c r="G3" s="31" t="str"/>
      <x:c r="H3" s="31" t="str">
        <x:v>实际</x:v>
      </x:c>
      <x:c r="I3" s="31" t="str">
        <x:v>国家能源局口径</x:v>
      </x:c>
      <x:c r="J3" s="31" t="str">
        <x:v>R012</x:v>
      </x:c>
      <x:c r="K3" s="31" t="str">
        <x:v>S01</x:v>
      </x:c>
      <x:c r="L3" s="31" t="str">
        <x:v>国家能源局</x:v>
      </x:c>
      <x:c r="M3" s="31" t="str">
        <x:v>https://www.nea.gov.cn/20260130/50f657ce87f848e1a9a1861d1fd9aa23/c.html</x:v>
      </x:c>
      <x:c r="N3" s="31" t="str">
        <x:v>2026-01-30</x:v>
      </x:c>
      <x:c r="O3" s="31" t="str">
        <x:v>2026-09-11</x:v>
      </x:c>
      <x:c r="P3" s="31" t="str">
        <x:v>2026-09-11</x:v>
      </x:c>
      <x:c r="Q3" s="31" t="str">
        <x:v>A</x:v>
      </x:c>
      <x:c r="R3" s="31" t="str">
        <x:v>事实</x:v>
      </x:c>
      <x:c r="S3" s="31" t="str">
        <x:v>否</x:v>
      </x:c>
      <x:c r="T3" s="31" t="str"/>
    </x:row>
    <x:row r="4" ht="21.600000381469727" hidden="0" customHeight="1">
      <x:c r="A4" s="28" t="str">
        <x:v>平均储能时长</x:v>
      </x:c>
      <x:c r="B4" s="29" t="str">
        <x:v>容量/功率</x:v>
      </x:c>
      <x:c r="C4" s="29" t="n">
        <x:v>2025</x:v>
      </x:c>
      <x:c r="D4" s="29" t="str">
        <x:v>全国</x:v>
      </x:c>
      <x:c r="E4" s="29" t="n">
        <x:v>2.58</x:v>
      </x:c>
      <x:c r="F4" s="29" t="str">
        <x:v>小时</x:v>
      </x:c>
      <x:c r="G4" s="29" t="str">
        <x:v>+0.30小时</x:v>
      </x:c>
      <x:c r="H4" s="29" t="str">
        <x:v>实际</x:v>
      </x:c>
      <x:c r="I4" s="29" t="str">
        <x:v>平均值不代表单项目设计时长</x:v>
      </x:c>
      <x:c r="J4" s="29" t="str">
        <x:v>R013</x:v>
      </x:c>
      <x:c r="K4" s="29" t="str">
        <x:v>S01</x:v>
      </x:c>
      <x:c r="L4" s="29" t="str">
        <x:v>国家能源局</x:v>
      </x:c>
      <x:c r="M4" s="29" t="str">
        <x:v>https://www.nea.gov.cn/20260130/50f657ce87f848e1a9a1861d1fd9aa23/c.html</x:v>
      </x:c>
      <x:c r="N4" s="29" t="str">
        <x:v>2026-01-30</x:v>
      </x:c>
      <x:c r="O4" s="29" t="str">
        <x:v>2026-09-11</x:v>
      </x:c>
      <x:c r="P4" s="29" t="str">
        <x:v>2026-09-11</x:v>
      </x:c>
      <x:c r="Q4" s="29" t="str">
        <x:v>A</x:v>
      </x:c>
      <x:c r="R4" s="29" t="str">
        <x:v>事实</x:v>
      </x:c>
      <x:c r="S4" s="29" t="str">
        <x:v>否</x:v>
      </x:c>
      <x:c r="T4" s="29" t="str"/>
    </x:row>
    <x:row r="5" ht="21.600000381469727" hidden="0" customHeight="1">
      <x:c r="A5" s="30" t="str">
        <x:v>独立储能累计装机占比</x:v>
      </x:c>
      <x:c r="B5" s="31" t="str">
        <x:v>应用场景占比</x:v>
      </x:c>
      <x:c r="C5" s="31" t="n">
        <x:v>2025</x:v>
      </x:c>
      <x:c r="D5" s="31" t="str">
        <x:v>全国</x:v>
      </x:c>
      <x:c r="E5" s="31" t="n">
        <x:v>51.2</x:v>
      </x:c>
      <x:c r="F5" s="31" t="str">
        <x:v>%</x:v>
      </x:c>
      <x:c r="G5" s="31" t="str">
        <x:v>+约5个百分点</x:v>
      </x:c>
      <x:c r="H5" s="31" t="str">
        <x:v>实际</x:v>
      </x:c>
      <x:c r="I5" s="31" t="str">
        <x:v>按功率装机理解，需项目级核验</x:v>
      </x:c>
      <x:c r="J5" s="31" t="str">
        <x:v>R014</x:v>
      </x:c>
      <x:c r="K5" s="31" t="str">
        <x:v>S01</x:v>
      </x:c>
      <x:c r="L5" s="31" t="str">
        <x:v>国家能源局</x:v>
      </x:c>
      <x:c r="M5" s="31" t="str">
        <x:v>https://www.nea.gov.cn/20260130/50f657ce87f848e1a9a1861d1fd9aa23/c.html</x:v>
      </x:c>
      <x:c r="N5" s="31" t="str">
        <x:v>2026-01-30</x:v>
      </x:c>
      <x:c r="O5" s="31" t="str">
        <x:v>2026-09-11</x:v>
      </x:c>
      <x:c r="P5" s="31" t="str">
        <x:v>2026-09-11</x:v>
      </x:c>
      <x:c r="Q5" s="31" t="str">
        <x:v>A</x:v>
      </x:c>
      <x:c r="R5" s="31" t="str">
        <x:v>事实</x:v>
      </x:c>
      <x:c r="S5" s="31" t="str">
        <x:v>否</x:v>
      </x:c>
      <x:c r="T5" s="31" t="str"/>
    </x:row>
    <x:row r="6" ht="32.400001525878906" hidden="0" customHeight="1">
      <x:c r="A6" s="28" t="str">
        <x:v>锂离子电池储能装机占比</x:v>
      </x:c>
      <x:c r="B6" s="29" t="str">
        <x:v>技术路线占比</x:v>
      </x:c>
      <x:c r="C6" s="29" t="n">
        <x:v>2025</x:v>
      </x:c>
      <x:c r="D6" s="29" t="str">
        <x:v>全国</x:v>
      </x:c>
      <x:c r="E6" s="29" t="n">
        <x:v>96.1</x:v>
      </x:c>
      <x:c r="F6" s="29" t="str">
        <x:v>%</x:v>
      </x:c>
      <x:c r="G6" s="29" t="str"/>
      <x:c r="H6" s="29" t="str">
        <x:v>实际</x:v>
      </x:c>
      <x:c r="I6" s="29" t="str">
        <x:v>主导路线也意味着集中度与安全风险需关注</x:v>
      </x:c>
      <x:c r="J6" s="29" t="str">
        <x:v>R015</x:v>
      </x:c>
      <x:c r="K6" s="29" t="str">
        <x:v>S01</x:v>
      </x:c>
      <x:c r="L6" s="29" t="str">
        <x:v>国家能源局</x:v>
      </x:c>
      <x:c r="M6" s="29" t="str">
        <x:v>https://www.nea.gov.cn/20260130/50f657ce87f848e1a9a1861d1fd9aa23/c.html</x:v>
      </x:c>
      <x:c r="N6" s="29" t="str">
        <x:v>2026-01-30</x:v>
      </x:c>
      <x:c r="O6" s="29" t="str">
        <x:v>2026-09-11</x:v>
      </x:c>
      <x:c r="P6" s="29" t="str">
        <x:v>2026-09-11</x:v>
      </x:c>
      <x:c r="Q6" s="29" t="str">
        <x:v>A</x:v>
      </x:c>
      <x:c r="R6" s="29" t="str">
        <x:v>事实</x:v>
      </x:c>
      <x:c r="S6" s="29" t="str">
        <x:v>否</x:v>
      </x:c>
      <x:c r="T6" s="29" t="str"/>
    </x:row>
    <x:row r="7" ht="21.600000381469727" hidden="0" customHeight="1">
      <x:c r="A7" s="30" t="str">
        <x:v>等效利用小时数</x:v>
      </x:c>
      <x:c r="B7" s="31" t="str">
        <x:v>国家能源局初步统计</x:v>
      </x:c>
      <x:c r="C7" s="31" t="n">
        <x:v>2025</x:v>
      </x:c>
      <x:c r="D7" s="31" t="str">
        <x:v>全国</x:v>
      </x:c>
      <x:c r="E7" s="31" t="n">
        <x:v>1195</x:v>
      </x:c>
      <x:c r="F7" s="31" t="str">
        <x:v>小时</x:v>
      </x:c>
      <x:c r="G7" s="31" t="str">
        <x:v>+近300小时</x:v>
      </x:c>
      <x:c r="H7" s="31" t="str">
        <x:v>实际</x:v>
      </x:c>
      <x:c r="I7" s="31" t="str">
        <x:v>不同省份与项目差异显著</x:v>
      </x:c>
      <x:c r="J7" s="31" t="str">
        <x:v>R016</x:v>
      </x:c>
      <x:c r="K7" s="31" t="str">
        <x:v>S01</x:v>
      </x:c>
      <x:c r="L7" s="31" t="str">
        <x:v>国家能源局</x:v>
      </x:c>
      <x:c r="M7" s="31" t="str">
        <x:v>https://www.nea.gov.cn/20260130/50f657ce87f848e1a9a1861d1fd9aa23/c.html</x:v>
      </x:c>
      <x:c r="N7" s="31" t="str">
        <x:v>2026-01-30</x:v>
      </x:c>
      <x:c r="O7" s="31" t="str">
        <x:v>2026-09-11</x:v>
      </x:c>
      <x:c r="P7" s="31" t="str">
        <x:v>2026-09-11</x:v>
      </x:c>
      <x:c r="Q7" s="31" t="str">
        <x:v>A</x:v>
      </x:c>
      <x:c r="R7" s="31" t="str">
        <x:v>事实</x:v>
      </x:c>
      <x:c r="S7" s="31" t="str">
        <x:v>否</x:v>
      </x:c>
      <x:c r="T7" s="31" t="str"/>
    </x:row>
    <x:row r="8" ht="32.400001525878906" hidden="0" customHeight="1">
      <x:c r="A8" s="24" t="str">
        <x:v>调峰度电收益</x:v>
      </x:c>
      <x:c r="B8" s="25" t="str">
        <x:v>2021年至2025年10月累计服务费/服务电量</x:v>
      </x:c>
      <x:c r="C8" s="25" t="n">
        <x:v>2025</x:v>
      </x:c>
      <x:c r="D8" s="25" t="str">
        <x:v>湖南</x:v>
      </x:c>
      <x:c r="E8" s="25" t="n">
        <x:v>0.187</x:v>
      </x:c>
      <x:c r="F8" s="25" t="str">
        <x:v>元/千瓦时</x:v>
      </x:c>
      <x:c r="G8" s="25" t="str"/>
      <x:c r="H8" s="25" t="str">
        <x:v>外部可比</x:v>
      </x:c>
      <x:c r="I8" s="25" t="str">
        <x:v>湖南调峰辅助服务历史口径，不能直接作为湖北预测</x:v>
      </x:c>
      <x:c r="J8" s="25" t="str">
        <x:v>R017</x:v>
      </x:c>
      <x:c r="K8" s="25" t="str">
        <x:v>S07</x:v>
      </x:c>
      <x:c r="L8" s="25" t="str">
        <x:v>湖南能源监管办（国家能源局网站）</x:v>
      </x:c>
      <x:c r="M8" s="25" t="str">
        <x:v>https://www.nea.gov.cn/20251114/4f1068f616e945d282655926b6bac54f/c.html</x:v>
      </x:c>
      <x:c r="N8" s="25" t="str">
        <x:v>2025-11-14</x:v>
      </x:c>
      <x:c r="O8" s="25" t="str">
        <x:v>2026-09-11</x:v>
      </x:c>
      <x:c r="P8" s="25" t="str">
        <x:v>2026-09-11</x:v>
      </x:c>
      <x:c r="Q8" s="25" t="str">
        <x:v>B</x:v>
      </x:c>
      <x:c r="R8" s="25" t="str">
        <x:v>外部可比事实</x:v>
      </x:c>
      <x:c r="S8" s="25" t="str">
        <x:v>否</x:v>
      </x:c>
      <x:c r="T8" s="2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1" hidden="0" customWidth="1"/>
    <x:col min="7" max="7" width="13" hidden="0" customWidth="1"/>
    <x:col min="8" max="8" width="15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8" hidden="0" customWidth="1"/>
    <x:col min="16" max="16" width="11" hidden="0" customWidth="1"/>
    <x:col min="17" max="17" width="11" hidden="0" customWidth="1"/>
    <x:col min="18" max="18" width="15" hidden="0" customWidth="1"/>
    <x:col min="19" max="19" width="11" hidden="0" customWidth="1"/>
    <x:col min="20" max="20" width="11" hidden="0" customWidth="1"/>
    <x:col min="21" max="21" width="13" hidden="0" customWidth="1"/>
    <x:col min="22" max="22" width="11" hidden="0" customWidth="1"/>
  </x:cols>
  <x:sheetData>
    <x:row r="1" ht="15" hidden="0" customHeight="1">
      <x:c r="A1" s="10" t="str">
        <x:v>技术层级</x:v>
      </x:c>
      <x:c r="B1" s="11" t="str">
        <x:v>技术名称</x:v>
      </x:c>
      <x:c r="C1" s="11" t="str">
        <x:v>技术内涵</x:v>
      </x:c>
      <x:c r="D1" s="11" t="str">
        <x:v>成熟度TRL</x:v>
      </x:c>
      <x:c r="E1" s="11" t="str">
        <x:v>渗透率</x:v>
      </x:c>
      <x:c r="F1" s="11" t="str">
        <x:v>主要瓶颈</x:v>
      </x:c>
      <x:c r="G1" s="11" t="str">
        <x:v>国内外差距</x:v>
      </x:c>
      <x:c r="H1" s="11" t="str">
        <x:v>主流所需时间</x:v>
      </x:c>
      <x:c r="I1" s="11" t="str">
        <x:v>代表主体</x:v>
      </x:c>
      <x:c r="J1" s="11" t="str">
        <x:v>验证指标</x:v>
      </x:c>
      <x:c r="K1" s="11" t="str">
        <x:v>布局建议</x:v>
      </x:c>
      <x:c r="L1" s="11" t="str">
        <x:v>记录ID</x:v>
      </x:c>
      <x:c r="M1" s="11" t="str">
        <x:v>来源ID</x:v>
      </x:c>
      <x:c r="N1" s="11" t="str">
        <x:v>发布主体</x:v>
      </x:c>
      <x:c r="O1" s="11" t="str">
        <x:v>来源链接</x:v>
      </x:c>
      <x:c r="P1" s="11" t="str">
        <x:v>发布日期</x:v>
      </x:c>
      <x:c r="Q1" s="11" t="str">
        <x:v>查询日期</x:v>
      </x:c>
      <x:c r="R1" s="11" t="str">
        <x:v>信息更新时间</x:v>
      </x:c>
      <x:c r="S1" s="11" t="str">
        <x:v>可信度</x:v>
      </x:c>
      <x:c r="T1" s="11" t="str">
        <x:v>数据属性</x:v>
      </x:c>
      <x:c r="U1" s="11" t="str">
        <x:v>待核实标记</x:v>
      </x:c>
      <x:c r="V1" s="12" t="str">
        <x:v>备注</x:v>
      </x:c>
    </x:row>
    <x:row r="2" ht="32.400001525878906" hidden="0" customHeight="1">
      <x:c r="A2" s="28" t="str">
        <x:v>本体</x:v>
      </x:c>
      <x:c r="B2" s="29" t="str">
        <x:v>锂离子电池储能</x:v>
      </x:c>
      <x:c r="C2" s="29" t="str">
        <x:v>以锂离子电池实现电化学储能</x:v>
      </x:c>
      <x:c r="D2" s="29" t="str">
        <x:v>TRL9</x:v>
      </x:c>
      <x:c r="E2" s="29" t="str">
        <x:v>96.1%装机占比</x:v>
      </x:c>
      <x:c r="F2" s="29" t="str">
        <x:v>热失控、安全一致性与寿命衰减</x:v>
      </x:c>
      <x:c r="G2" s="29" t="str">
        <x:v>本测试未形成可比结论</x:v>
      </x:c>
      <x:c r="H2" s="29" t="str">
        <x:v>已主流</x:v>
      </x:c>
      <x:c r="I2" s="29" t="str">
        <x:v>电芯及集成企业</x:v>
      </x:c>
      <x:c r="J2" s="29" t="str">
        <x:v>循环寿命、RTE、事故率、可用率</x:v>
      </x:c>
      <x:c r="K2" s="29" t="str">
        <x:v>把安全与质保责任作为投资前置条件</x:v>
      </x:c>
      <x:c r="L2" s="29" t="str">
        <x:v>R018</x:v>
      </x:c>
      <x:c r="M2" s="29" t="str">
        <x:v>S01</x:v>
      </x:c>
      <x:c r="N2" s="29" t="str">
        <x:v>国家能源局</x:v>
      </x:c>
      <x:c r="O2" s="29" t="str">
        <x:v>https://www.nea.gov.cn/20260130/50f657ce87f848e1a9a1861d1fd9aa23/c.html</x:v>
      </x:c>
      <x:c r="P2" s="29" t="str">
        <x:v>2026-01-30</x:v>
      </x:c>
      <x:c r="Q2" s="29" t="str">
        <x:v>2026-09-11</x:v>
      </x:c>
      <x:c r="R2" s="29" t="str">
        <x:v>2026-09-11</x:v>
      </x:c>
      <x:c r="S2" s="29" t="str">
        <x:v>A</x:v>
      </x:c>
      <x:c r="T2" s="29" t="str">
        <x:v>事实</x:v>
      </x:c>
      <x:c r="U2" s="29" t="str">
        <x:v>否</x:v>
      </x:c>
      <x:c r="V2" s="29" t="str"/>
    </x:row>
    <x:row r="3" ht="32.400001525878906" hidden="0" customHeight="1">
      <x:c r="A3" s="30" t="str">
        <x:v>本体</x:v>
      </x:c>
      <x:c r="B3" s="31" t="str">
        <x:v>全钒液流电池</x:v>
      </x:c>
      <x:c r="C3" s="31" t="str">
        <x:v>以液流电解质实现长时储能</x:v>
      </x:c>
      <x:c r="D3" s="31" t="str">
        <x:v>TRL7-8（研究判断）</x:v>
      </x:c>
      <x:c r="E3" s="31" t="str">
        <x:v>全国非锂路线合计3.9%</x:v>
      </x:c>
      <x:c r="F3" s="31" t="str">
        <x:v>初始投资、效率、供应链</x:v>
      </x:c>
      <x:c r="G3" s="31" t="str">
        <x:v>本测试未形成可比结论</x:v>
      </x:c>
      <x:c r="H3" s="31" t="str">
        <x:v>2—5年项目验证</x:v>
      </x:c>
      <x:c r="I3" s="31" t="str">
        <x:v>宜昌长阳项目参与方待核</x:v>
      </x:c>
      <x:c r="J3" s="31" t="str">
        <x:v>系统效率、4小时连续放电、衰减</x:v>
      </x:c>
      <x:c r="K3" s="31" t="str">
        <x:v>围绕宜昌项目开展运营数据尽调</x:v>
      </x:c>
      <x:c r="L3" s="31" t="str">
        <x:v>R019</x:v>
      </x:c>
      <x:c r="M3" s="31" t="str">
        <x:v>S04</x:v>
      </x:c>
      <x:c r="N3" s="31" t="str">
        <x:v>湖北省经济和信息化厅（转载湖北日报）</x:v>
      </x:c>
      <x:c r="O3" s="31" t="str">
        <x:v>https://jxt.hubei.gov.cn/bmdt/szgz/202601/t20260121_5860531.shtml</x:v>
      </x:c>
      <x:c r="P3" s="31" t="str">
        <x:v>2026-01-21</x:v>
      </x:c>
      <x:c r="Q3" s="31" t="str">
        <x:v>2026-09-11</x:v>
      </x:c>
      <x:c r="R3" s="31" t="str">
        <x:v>2026-09-11</x:v>
      </x:c>
      <x:c r="S3" s="31" t="str">
        <x:v>B</x:v>
      </x:c>
      <x:c r="T3" s="31" t="str">
        <x:v>研究判断</x:v>
      </x:c>
      <x:c r="U3" s="31" t="str">
        <x:v>是</x:v>
      </x:c>
      <x:c r="V3" s="31" t="str">
        <x:v>TRL为研究判断，需企业及第三方验证</x:v>
      </x:c>
    </x:row>
    <x:row r="4" ht="32.400001525878906" hidden="0" customHeight="1">
      <x:c r="A4" s="28" t="str">
        <x:v>本体</x:v>
      </x:c>
      <x:c r="B4" s="29" t="str">
        <x:v>压缩空气储能</x:v>
      </x:c>
      <x:c r="C4" s="29" t="str">
        <x:v>以空气压缩与膨胀完成能量转换</x:v>
      </x:c>
      <x:c r="D4" s="29" t="str">
        <x:v>TRL7-8（研究判断）</x:v>
      </x:c>
      <x:c r="E4" s="29" t="str">
        <x:v>全国非锂路线合计3.9%</x:v>
      </x:c>
      <x:c r="F4" s="29" t="str">
        <x:v>选址、建设周期、装备效率</x:v>
      </x:c>
      <x:c r="G4" s="29" t="str">
        <x:v>本测试未形成可比结论</x:v>
      </x:c>
      <x:c r="H4" s="29" t="str">
        <x:v>3—5年规模验证</x:v>
      </x:c>
      <x:c r="I4" s="29" t="str">
        <x:v>项目及装备企业待补</x:v>
      </x:c>
      <x:c r="J4" s="29" t="str">
        <x:v>系统效率、建设周期、单位投资</x:v>
      </x:c>
      <x:c r="K4" s="29" t="str">
        <x:v>以重大项目而非通用制造产线切入</x:v>
      </x:c>
      <x:c r="L4" s="29" t="str">
        <x:v>R020</x:v>
      </x:c>
      <x:c r="M4" s="29" t="str">
        <x:v>S01</x:v>
      </x:c>
      <x:c r="N4" s="29" t="str">
        <x:v>国家能源局</x:v>
      </x:c>
      <x:c r="O4" s="29" t="str">
        <x:v>https://www.nea.gov.cn/20260130/50f657ce87f848e1a9a1861d1fd9aa23/c.html</x:v>
      </x:c>
      <x:c r="P4" s="29" t="str">
        <x:v>2026-01-30</x:v>
      </x:c>
      <x:c r="Q4" s="29" t="str">
        <x:v>2026-09-11</x:v>
      </x:c>
      <x:c r="R4" s="29" t="str">
        <x:v>2026-09-11</x:v>
      </x:c>
      <x:c r="S4" s="29" t="str">
        <x:v>B</x:v>
      </x:c>
      <x:c r="T4" s="29" t="str">
        <x:v>研究判断</x:v>
      </x:c>
      <x:c r="U4" s="29" t="str">
        <x:v>是</x:v>
      </x:c>
      <x:c r="V4" s="29" t="str">
        <x:v>需补项目级一手数据</x:v>
      </x:c>
    </x:row>
    <x:row r="5" ht="32.400001525878906" hidden="0" customHeight="1">
      <x:c r="A5" s="30" t="str">
        <x:v>系统</x:v>
      </x:c>
      <x:c r="B5" s="31" t="str">
        <x:v>构网与智慧调控</x:v>
      </x:c>
      <x:c r="C5" s="31" t="str">
        <x:v>PCS/EMS提供电网支撑及协同控制</x:v>
      </x:c>
      <x:c r="D5" s="31" t="str">
        <x:v>TRL7-9</x:v>
      </x:c>
      <x:c r="E5" s="31" t="str">
        <x:v>无统一公开口径</x:v>
      </x:c>
      <x:c r="F5" s="31" t="str">
        <x:v>复杂电网适配和系统验证</x:v>
      </x:c>
      <x:c r="G5" s="31" t="str">
        <x:v>本测试未形成可比结论</x:v>
      </x:c>
      <x:c r="H5" s="31" t="str">
        <x:v>持续渗透</x:v>
      </x:c>
      <x:c r="I5" s="31" t="str">
        <x:v>系统集成与电力电子企业</x:v>
      </x:c>
      <x:c r="J5" s="31" t="str">
        <x:v>响应时间、稳定支撑、可用率</x:v>
      </x:c>
      <x:c r="K5" s="31" t="str">
        <x:v>优先关注有真实并网验证的团队</x:v>
      </x:c>
      <x:c r="L5" s="31" t="str">
        <x:v>R021</x:v>
      </x:c>
      <x:c r="M5" s="31" t="str">
        <x:v>S02</x:v>
      </x:c>
      <x:c r="N5" s="31" t="str">
        <x:v>工业和信息化部等八部门</x:v>
      </x:c>
      <x:c r="O5" s="31" t="str">
        <x:v>https://www.miit.gov.cn/zwgk/zcjd/art/2025/art_d2cdb0db114246dab18d95b2ff2a2824.html</x:v>
      </x:c>
      <x:c r="P5" s="31" t="str">
        <x:v>2025-02-17</x:v>
      </x:c>
      <x:c r="Q5" s="31" t="str">
        <x:v>2026-09-11</x:v>
      </x:c>
      <x:c r="R5" s="31" t="str">
        <x:v>2026-09-11</x:v>
      </x:c>
      <x:c r="S5" s="31" t="str">
        <x:v>A</x:v>
      </x:c>
      <x:c r="T5" s="31" t="str">
        <x:v>事实</x:v>
      </x:c>
      <x:c r="U5" s="31" t="str">
        <x:v>否</x:v>
      </x:c>
      <x:c r="V5" s="31" t="str"/>
    </x:row>
    <x:row r="6" ht="32.400001525878906" hidden="0" customHeight="1">
      <x:c r="A6" s="24" t="str">
        <x:v>安全</x:v>
      </x:c>
      <x:c r="B6" s="25" t="str">
        <x:v>全生命周期安全监测</x:v>
      </x:c>
      <x:c r="C6" s="25" t="str">
        <x:v>采集、预警、处置和追溯储能安全信息</x:v>
      </x:c>
      <x:c r="D6" s="25" t="str">
        <x:v>TRL8-9</x:v>
      </x:c>
      <x:c r="E6" s="25" t="str">
        <x:v>无统一公开口径</x:v>
      </x:c>
      <x:c r="F6" s="25" t="str">
        <x:v>数据质量、预警责任和接口标准</x:v>
      </x:c>
      <x:c r="G6" s="25" t="str">
        <x:v>本测试未形成可比结论</x:v>
      </x:c>
      <x:c r="H6" s="25" t="str">
        <x:v>标准已实施</x:v>
      </x:c>
      <x:c r="I6" s="25" t="str">
        <x:v>检测、监测及集成企业</x:v>
      </x:c>
      <x:c r="J6" s="25" t="str">
        <x:v>预警准确率、误报率、响应时间</x:v>
      </x:c>
      <x:c r="K6" s="25" t="str">
        <x:v>设为设备和项目投资的必选模块</x:v>
      </x:c>
      <x:c r="L6" s="25" t="str">
        <x:v>R022</x:v>
      </x:c>
      <x:c r="M6" s="25" t="str">
        <x:v>S05</x:v>
      </x:c>
      <x:c r="N6" s="25" t="str">
        <x:v>国家市场监督管理总局、国家标准化管理委员会</x:v>
      </x:c>
      <x:c r="O6" s="25" t="str">
        <x:v>https://openstd.samr.gov.cn/bzgk/std/newGbInfo?hcno=5FA0CEFF0CF542D232EA0E89905DB6E4</x:v>
      </x:c>
      <x:c r="P6" s="25" t="str">
        <x:v>2024-10-26</x:v>
      </x:c>
      <x:c r="Q6" s="25" t="str">
        <x:v>2026-09-11</x:v>
      </x:c>
      <x:c r="R6" s="25" t="str">
        <x:v>2026-09-11</x:v>
      </x:c>
      <x:c r="S6" s="25" t="str">
        <x:v>A</x:v>
      </x:c>
      <x:c r="T6" s="25" t="str">
        <x:v>事实</x:v>
      </x:c>
      <x:c r="U6" s="25" t="str">
        <x:v>否</x:v>
      </x:c>
      <x:c r="V6" s="2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28" hidden="0" customWidth="1"/>
    <x:col min="18" max="18" width="11" hidden="0" customWidth="1"/>
    <x:col min="19" max="19" width="11" hidden="0" customWidth="1"/>
    <x:col min="20" max="20" width="15" hidden="0" customWidth="1"/>
    <x:col min="21" max="21" width="11" hidden="0" customWidth="1"/>
    <x:col min="22" max="22" width="11" hidden="0" customWidth="1"/>
    <x:col min="23" max="23" width="13" hidden="0" customWidth="1"/>
    <x:col min="24" max="24" width="11" hidden="0" customWidth="1"/>
  </x:cols>
  <x:sheetData>
    <x:row r="1" ht="15" hidden="0" customHeight="1">
      <x:c r="A1" s="10" t="str">
        <x:v>区域</x:v>
      </x:c>
      <x:c r="B1" s="11" t="str">
        <x:v>城市园区</x:v>
      </x:c>
      <x:c r="C1" s="11" t="str">
        <x:v>企业</x:v>
      </x:c>
      <x:c r="D1" s="11" t="str">
        <x:v>高校科研</x:v>
      </x:c>
      <x:c r="E1" s="11" t="str">
        <x:v>创新平台</x:v>
      </x:c>
      <x:c r="F1" s="11" t="str">
        <x:v>资本</x:v>
      </x:c>
      <x:c r="G1" s="11" t="str">
        <x:v>制造</x:v>
      </x:c>
      <x:c r="H1" s="11" t="str">
        <x:v>应用场景</x:v>
      </x:c>
      <x:c r="I1" s="11" t="str">
        <x:v>政策</x:v>
      </x:c>
      <x:c r="J1" s="11" t="str">
        <x:v>区域优势</x:v>
      </x:c>
      <x:c r="K1" s="11" t="str">
        <x:v>区域短板</x:v>
      </x:c>
      <x:c r="L1" s="11" t="str">
        <x:v>功能定位</x:v>
      </x:c>
      <x:c r="M1" s="11" t="str">
        <x:v>合作机会</x:v>
      </x:c>
      <x:c r="N1" s="11" t="str">
        <x:v>记录ID</x:v>
      </x:c>
      <x:c r="O1" s="11" t="str">
        <x:v>来源ID</x:v>
      </x:c>
      <x:c r="P1" s="11" t="str">
        <x:v>发布主体</x:v>
      </x:c>
      <x:c r="Q1" s="11" t="str">
        <x:v>来源链接</x:v>
      </x:c>
      <x:c r="R1" s="11" t="str">
        <x:v>发布日期</x:v>
      </x:c>
      <x:c r="S1" s="11" t="str">
        <x:v>查询日期</x:v>
      </x:c>
      <x:c r="T1" s="11" t="str">
        <x:v>信息更新时间</x:v>
      </x:c>
      <x:c r="U1" s="11" t="str">
        <x:v>可信度</x:v>
      </x:c>
      <x:c r="V1" s="11" t="str">
        <x:v>数据属性</x:v>
      </x:c>
      <x:c r="W1" s="11" t="str">
        <x:v>待核实标记</x:v>
      </x:c>
      <x:c r="X1" s="12" t="str">
        <x:v>备注</x:v>
      </x:c>
    </x:row>
    <x:row r="2" ht="32.400001525878906" hidden="0" customHeight="1">
      <x:c r="A2" s="28" t="str">
        <x:v>核心布局区</x:v>
      </x:c>
      <x:c r="B2" s="29" t="str">
        <x:v>武汉</x:v>
      </x:c>
      <x:c r="C2" s="29" t="str">
        <x:v>待扩充</x:v>
      </x:c>
      <x:c r="D2" s="29" t="str">
        <x:v>高校科研资源待专题核验</x:v>
      </x:c>
      <x:c r="E2" s="29" t="str">
        <x:v>省级能源与科创平台待核</x:v>
      </x:c>
      <x:c r="F2" s="29" t="str">
        <x:v>省级资本资源集中（区域公共）</x:v>
      </x:c>
      <x:c r="G2" s="29" t="str">
        <x:v>系统控制与装备制造能力待核</x:v>
      </x:c>
      <x:c r="H2" s="29" t="str">
        <x:v>省级调度、园区与交通能源场景待核</x:v>
      </x:c>
      <x:c r="I2" s="29" t="str">
        <x:v>湖北十五五规划</x:v>
      </x:c>
      <x:c r="J2" s="29" t="str">
        <x:v>科教与总部功能</x:v>
      </x:c>
      <x:c r="K2" s="29" t="str">
        <x:v>缺少主体可控资源清单</x:v>
      </x:c>
      <x:c r="L2" s="29" t="str">
        <x:v>研发、资本与交易能力中心（研究建议）</x:v>
      </x:c>
      <x:c r="M2" s="29" t="str">
        <x:v>建立省级储能项目与技术尽调平台</x:v>
      </x:c>
      <x:c r="N2" s="29" t="str">
        <x:v>R023</x:v>
      </x:c>
      <x:c r="O2" s="29" t="str">
        <x:v>S03</x:v>
      </x:c>
      <x:c r="P2" s="29" t="str">
        <x:v>湖北省人民政府</x:v>
      </x:c>
      <x:c r="Q2" s="29" t="str">
        <x:v>https://www.hubei.gov.cn/zwgk/hbyw/hbywqb/202604/t20260423_5920799.shtml</x:v>
      </x:c>
      <x:c r="R2" s="29" t="str">
        <x:v>2026-04-23</x:v>
      </x:c>
      <x:c r="S2" s="29" t="str">
        <x:v>2026-09-11</x:v>
      </x:c>
      <x:c r="T2" s="29" t="str">
        <x:v>2026-09-11</x:v>
      </x:c>
      <x:c r="U2" s="29" t="str">
        <x:v>B</x:v>
      </x:c>
      <x:c r="V2" s="29" t="str">
        <x:v>研究判断</x:v>
      </x:c>
      <x:c r="W2" s="29" t="str">
        <x:v>是</x:v>
      </x:c>
      <x:c r="X2" s="29" t="str"/>
    </x:row>
    <x:row r="3" ht="32.400001525878906" hidden="0" customHeight="1">
      <x:c r="A3" s="30" t="str">
        <x:v>项目验证区</x:v>
      </x:c>
      <x:c r="B3" s="31" t="str">
        <x:v>宜昌长阳</x:v>
      </x:c>
      <x:c r="C3" s="31" t="str">
        <x:v>项目参与方待尽调</x:v>
      </x:c>
      <x:c r="D3" s="31" t="str">
        <x:v>待核</x:v>
      </x:c>
      <x:c r="E3" s="31" t="str">
        <x:v>智慧控制中心</x:v>
      </x:c>
      <x:c r="F3" s="31" t="str">
        <x:v>长阳城发集团相关资源待核</x:v>
      </x:c>
      <x:c r="G3" s="31" t="str">
        <x:v>50MW全钒液流电池储能电站</x:v>
      </x:c>
      <x:c r="H3" s="31" t="str">
        <x:v>省电力公司直调项目；已并网20MW单元</x:v>
      </x:c>
      <x:c r="I3" s="31" t="str">
        <x:v>公开项目报道</x:v>
      </x:c>
      <x:c r="J3" s="31" t="str">
        <x:v>具备4小时长时储能示范</x:v>
      </x:c>
      <x:c r="K3" s="31" t="str">
        <x:v>项目运营与收益数据未公开</x:v>
      </x:c>
      <x:c r="L3" s="31" t="str">
        <x:v>长时储能示范与数据验证区</x:v>
      </x:c>
      <x:c r="M3" s="31" t="str">
        <x:v>围绕实际运营数据开展项目级尽调</x:v>
      </x:c>
      <x:c r="N3" s="31" t="str">
        <x:v>R024</x:v>
      </x:c>
      <x:c r="O3" s="31" t="str">
        <x:v>S04</x:v>
      </x:c>
      <x:c r="P3" s="31" t="str">
        <x:v>湖北省经济和信息化厅（转载湖北日报）</x:v>
      </x:c>
      <x:c r="Q3" s="31" t="str">
        <x:v>https://jxt.hubei.gov.cn/bmdt/szgz/202601/t20260121_5860531.shtml</x:v>
      </x:c>
      <x:c r="R3" s="31" t="str">
        <x:v>2026-01-21</x:v>
      </x:c>
      <x:c r="S3" s="31" t="str">
        <x:v>2026-09-11</x:v>
      </x:c>
      <x:c r="T3" s="31" t="str">
        <x:v>2026-09-11</x:v>
      </x:c>
      <x:c r="U3" s="31" t="str">
        <x:v>A</x:v>
      </x:c>
      <x:c r="V3" s="31" t="str">
        <x:v>事实</x:v>
      </x:c>
      <x:c r="W3" s="31" t="str">
        <x:v>否</x:v>
      </x:c>
      <x:c r="X3" s="31" t="str"/>
    </x:row>
    <x:row r="4" ht="21.600000381469727" hidden="0" customHeight="1">
      <x:c r="A4" s="24" t="str">
        <x:v>外部标杆区</x:v>
      </x:c>
      <x:c r="B4" s="25" t="str">
        <x:v>内蒙古/新疆/山东</x:v>
      </x:c>
      <x:c r="C4" s="25" t="str">
        <x:v>企业与项目待补</x:v>
      </x:c>
      <x:c r="D4" s="25" t="str">
        <x:v>待补</x:v>
      </x:c>
      <x:c r="E4" s="25" t="str">
        <x:v>待补</x:v>
      </x:c>
      <x:c r="F4" s="25" t="str">
        <x:v>大型能源资本</x:v>
      </x:c>
      <x:c r="G4" s="25" t="str">
        <x:v>大型储能项目</x:v>
      </x:c>
      <x:c r="H4" s="25" t="str">
        <x:v>独立储能和新能源配套</x:v>
      </x:c>
      <x:c r="I4" s="25" t="str">
        <x:v>国家统计</x:v>
      </x:c>
      <x:c r="J4" s="25" t="str">
        <x:v>累计装机规模领先</x:v>
      </x:c>
      <x:c r="K4" s="25" t="str">
        <x:v>与湖北电力结构、规则不同</x:v>
      </x:c>
      <x:c r="L4" s="25" t="str">
        <x:v>全国项目和运营对标</x:v>
      </x:c>
      <x:c r="M4" s="25" t="str">
        <x:v>引入成熟运营与安全经验</x:v>
      </x:c>
      <x:c r="N4" s="25" t="str">
        <x:v>R025</x:v>
      </x:c>
      <x:c r="O4" s="25" t="str">
        <x:v>S01</x:v>
      </x:c>
      <x:c r="P4" s="25" t="str">
        <x:v>国家能源局</x:v>
      </x:c>
      <x:c r="Q4" s="25" t="str">
        <x:v>https://www.nea.gov.cn/20260130/50f657ce87f848e1a9a1861d1fd9aa23/c.html</x:v>
      </x:c>
      <x:c r="R4" s="25" t="str">
        <x:v>2026-01-30</x:v>
      </x:c>
      <x:c r="S4" s="25" t="str">
        <x:v>2026-09-11</x:v>
      </x:c>
      <x:c r="T4" s="25" t="str">
        <x:v>2026-09-11</x:v>
      </x:c>
      <x:c r="U4" s="25" t="str">
        <x:v>A</x:v>
      </x:c>
      <x:c r="V4" s="25" t="str">
        <x:v>事实</x:v>
      </x:c>
      <x:c r="W4" s="25" t="str">
        <x:v>否</x:v>
      </x:c>
      <x:c r="X4" s="2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3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8" hidden="0" customWidth="1"/>
    <x:col min="16" max="16" width="11" hidden="0" customWidth="1"/>
    <x:col min="17" max="17" width="11" hidden="0" customWidth="1"/>
    <x:col min="18" max="18" width="15" hidden="0" customWidth="1"/>
    <x:col min="19" max="19" width="11" hidden="0" customWidth="1"/>
    <x:col min="20" max="20" width="11" hidden="0" customWidth="1"/>
    <x:col min="21" max="21" width="13" hidden="0" customWidth="1"/>
    <x:col min="22" max="22" width="11" hidden="0" customWidth="1"/>
  </x:cols>
  <x:sheetData>
    <x:row r="1" ht="15" hidden="0" customHeight="1">
      <x:c r="A1" s="10" t="str">
        <x:v>政策层级</x:v>
      </x:c>
      <x:c r="B1" s="11" t="str">
        <x:v>政策名称</x:v>
      </x:c>
      <x:c r="C1" s="11" t="str">
        <x:v>文号</x:v>
      </x:c>
      <x:c r="D1" s="11" t="str">
        <x:v>发布日期</x:v>
      </x:c>
      <x:c r="E1" s="11" t="str">
        <x:v>发布机构</x:v>
      </x:c>
      <x:c r="F1" s="11" t="str">
        <x:v>支持对象</x:v>
      </x:c>
      <x:c r="G1" s="11" t="str">
        <x:v>支持方式</x:v>
      </x:c>
      <x:c r="H1" s="11" t="str">
        <x:v>合规约束</x:v>
      </x:c>
      <x:c r="I1" s="11" t="str">
        <x:v>政策影响</x:v>
      </x:c>
      <x:c r="J1" s="11" t="str">
        <x:v>可争取机会</x:v>
      </x:c>
      <x:c r="K1" s="11" t="str">
        <x:v>有效状态</x:v>
      </x:c>
      <x:c r="L1" s="11" t="str">
        <x:v>记录ID</x:v>
      </x:c>
      <x:c r="M1" s="11" t="str">
        <x:v>来源ID</x:v>
      </x:c>
      <x:c r="N1" s="11" t="str">
        <x:v>发布主体</x:v>
      </x:c>
      <x:c r="O1" s="11" t="str">
        <x:v>来源链接</x:v>
      </x:c>
      <x:c r="P1" s="11" t="str">
        <x:v>发布日期</x:v>
      </x:c>
      <x:c r="Q1" s="11" t="str">
        <x:v>查询日期</x:v>
      </x:c>
      <x:c r="R1" s="11" t="str">
        <x:v>信息更新时间</x:v>
      </x:c>
      <x:c r="S1" s="11" t="str">
        <x:v>可信度</x:v>
      </x:c>
      <x:c r="T1" s="11" t="str">
        <x:v>数据属性</x:v>
      </x:c>
      <x:c r="U1" s="11" t="str">
        <x:v>待核实标记</x:v>
      </x:c>
      <x:c r="V1" s="12" t="str">
        <x:v>备注</x:v>
      </x:c>
    </x:row>
    <x:row r="2" ht="32.400001525878906" hidden="0" customHeight="1">
      <x:c r="A2" s="28" t="str">
        <x:v>国家</x:v>
      </x:c>
      <x:c r="B2" s="29" t="str">
        <x:v>新型储能制造业高质量发展行动方案</x:v>
      </x:c>
      <x:c r="C2" s="29" t="str"/>
      <x:c r="D2" s="29" t="str">
        <x:v>2025-02-10</x:v>
      </x:c>
      <x:c r="E2" s="29" t="str">
        <x:v>工信部等八部门</x:v>
      </x:c>
      <x:c r="F2" s="29" t="str">
        <x:v>储能制造企业与应用主体</x:v>
      </x:c>
      <x:c r="G2" s="29" t="str">
        <x:v>技术创新、示范应用、生态完善</x:v>
      </x:c>
      <x:c r="H2" s="29" t="str">
        <x:v>防止低水平重复建设；强化安全与规范</x:v>
      </x:c>
      <x:c r="I2" s="29" t="str">
        <x:v>到2027年产业创新力和竞争力提升</x:v>
      </x:c>
      <x:c r="J2" s="29" t="str">
        <x:v>申报示范、共建验证平台、布局安全能力</x:v>
      </x:c>
      <x:c r="K2" s="29" t="str">
        <x:v>有效</x:v>
      </x:c>
      <x:c r="L2" s="29" t="str">
        <x:v>R026</x:v>
      </x:c>
      <x:c r="M2" s="29" t="str">
        <x:v>S02</x:v>
      </x:c>
      <x:c r="N2" s="29" t="str">
        <x:v>工业和信息化部等八部门</x:v>
      </x:c>
      <x:c r="O2" s="29" t="str">
        <x:v>https://www.miit.gov.cn/zwgk/zcjd/art/2025/art_d2cdb0db114246dab18d95b2ff2a2824.html</x:v>
      </x:c>
      <x:c r="P2" s="29" t="str">
        <x:v>2025-02-17</x:v>
      </x:c>
      <x:c r="Q2" s="29" t="str">
        <x:v>2026-09-11</x:v>
      </x:c>
      <x:c r="R2" s="29" t="str">
        <x:v>2026-09-11</x:v>
      </x:c>
      <x:c r="S2" s="29" t="str">
        <x:v>A</x:v>
      </x:c>
      <x:c r="T2" s="29" t="str">
        <x:v>事实</x:v>
      </x:c>
      <x:c r="U2" s="29" t="str">
        <x:v>否</x:v>
      </x:c>
      <x:c r="V2" s="29" t="str"/>
    </x:row>
    <x:row r="3" ht="43.20000076293945" hidden="0" customHeight="1">
      <x:c r="A3" s="30" t="str">
        <x:v>国家</x:v>
      </x:c>
      <x:c r="B3" s="31" t="str">
        <x:v>新型储能规模化建设专项行动方案（2025—2027年）</x:v>
      </x:c>
      <x:c r="C3" s="31" t="str"/>
      <x:c r="D3" s="31" t="str">
        <x:v>2025-09-12</x:v>
      </x:c>
      <x:c r="E3" s="31" t="str">
        <x:v>国家发展改革委、国家能源局</x:v>
      </x:c>
      <x:c r="F3" s="31" t="str">
        <x:v>储能项目与产业主体</x:v>
      </x:c>
      <x:c r="G3" s="31" t="str">
        <x:v>规模化建设和机制完善</x:v>
      </x:c>
      <x:c r="H3" s="31" t="str">
        <x:v>项目建设与调用需匹配系统需求</x:v>
      </x:c>
      <x:c r="I3" s="31" t="str">
        <x:v>推动项目规模化和高质量发展</x:v>
      </x:c>
      <x:c r="J3" s="31" t="str">
        <x:v>围绕湖北项目储备匹配政策窗口</x:v>
      </x:c>
      <x:c r="K3" s="31" t="str">
        <x:v>有效</x:v>
      </x:c>
      <x:c r="L3" s="31" t="str">
        <x:v>R027</x:v>
      </x:c>
      <x:c r="M3" s="31" t="str">
        <x:v>S09</x:v>
      </x:c>
      <x:c r="N3" s="31" t="str">
        <x:v>国家发展改革委、国家能源局</x:v>
      </x:c>
      <x:c r="O3" s="31" t="str">
        <x:v>https://zfxxgk.ndrc.gov.cn/web/iteminfo.jsp?id=20539</x:v>
      </x:c>
      <x:c r="P3" s="31" t="str">
        <x:v>2025-09-12</x:v>
      </x:c>
      <x:c r="Q3" s="31" t="str">
        <x:v>2026-09-11</x:v>
      </x:c>
      <x:c r="R3" s="31" t="str">
        <x:v>2026-09-11</x:v>
      </x:c>
      <x:c r="S3" s="31" t="str">
        <x:v>A</x:v>
      </x:c>
      <x:c r="T3" s="31" t="str">
        <x:v>事实</x:v>
      </x:c>
      <x:c r="U3" s="31" t="str">
        <x:v>否</x:v>
      </x:c>
      <x:c r="V3" s="31" t="str"/>
    </x:row>
    <x:row r="4" ht="32.400001525878906" hidden="0" customHeight="1">
      <x:c r="A4" s="28" t="str">
        <x:v>国家标准</x:v>
      </x:c>
      <x:c r="B4" s="29" t="str">
        <x:v>电化学储能电站安全监测信息系统技术导则</x:v>
      </x:c>
      <x:c r="C4" s="29" t="str">
        <x:v>GB/T 44767-2024</x:v>
      </x:c>
      <x:c r="D4" s="29" t="str">
        <x:v>2024-10-26</x:v>
      </x:c>
      <x:c r="E4" s="29" t="str">
        <x:v>市场监管总局、国家标准委</x:v>
      </x:c>
      <x:c r="F4" s="29" t="str">
        <x:v>电化学储能电站</x:v>
      </x:c>
      <x:c r="G4" s="29" t="str">
        <x:v>安全监测技术规范</x:v>
      </x:c>
      <x:c r="H4" s="29" t="str">
        <x:v>2025-05-01实施</x:v>
      </x:c>
      <x:c r="I4" s="29" t="str">
        <x:v>安全能力成为项目与供应商准入项</x:v>
      </x:c>
      <x:c r="J4" s="29" t="str">
        <x:v>投资尽调加入标准符合性检查</x:v>
      </x:c>
      <x:c r="K4" s="29" t="str">
        <x:v>现行</x:v>
      </x:c>
      <x:c r="L4" s="29" t="str">
        <x:v>R028</x:v>
      </x:c>
      <x:c r="M4" s="29" t="str">
        <x:v>S05</x:v>
      </x:c>
      <x:c r="N4" s="29" t="str">
        <x:v>国家市场监督管理总局、国家标准化管理委员会</x:v>
      </x:c>
      <x:c r="O4" s="29" t="str">
        <x:v>https://openstd.samr.gov.cn/bzgk/std/newGbInfo?hcno=5FA0CEFF0CF542D232EA0E89905DB6E4</x:v>
      </x:c>
      <x:c r="P4" s="29" t="str">
        <x:v>2024-10-26</x:v>
      </x:c>
      <x:c r="Q4" s="29" t="str">
        <x:v>2026-09-11</x:v>
      </x:c>
      <x:c r="R4" s="29" t="str">
        <x:v>2026-09-11</x:v>
      </x:c>
      <x:c r="S4" s="29" t="str">
        <x:v>A</x:v>
      </x:c>
      <x:c r="T4" s="29" t="str">
        <x:v>事实</x:v>
      </x:c>
      <x:c r="U4" s="29" t="str">
        <x:v>否</x:v>
      </x:c>
      <x:c r="V4" s="29" t="str"/>
    </x:row>
    <x:row r="5" ht="43.20000076293945" hidden="0" customHeight="1">
      <x:c r="A5" s="30" t="str">
        <x:v>国家监管</x:v>
      </x:c>
      <x:c r="B5" s="31" t="str">
        <x:v>关于加强电化学储能电站安全管理有关工作的通知</x:v>
      </x:c>
      <x:c r="C5" s="31" t="str"/>
      <x:c r="D5" s="31" t="str">
        <x:v>2025-05-07</x:v>
      </x:c>
      <x:c r="E5" s="31" t="str">
        <x:v>国家能源局</x:v>
      </x:c>
      <x:c r="F5" s="31" t="str">
        <x:v>电化学储能电站</x:v>
      </x:c>
      <x:c r="G5" s="31" t="str">
        <x:v>全生命周期安全管理</x:v>
      </x:c>
      <x:c r="H5" s="31" t="str">
        <x:v>建设、运行、应急和责任体系</x:v>
      </x:c>
      <x:c r="I5" s="31" t="str">
        <x:v>提高项目合规与运营门槛</x:v>
      </x:c>
      <x:c r="J5" s="31" t="str">
        <x:v>将安全责任和保险安排写入交易文件</x:v>
      </x:c>
      <x:c r="K5" s="31" t="str">
        <x:v>有效</x:v>
      </x:c>
      <x:c r="L5" s="31" t="str">
        <x:v>R029</x:v>
      </x:c>
      <x:c r="M5" s="31" t="str">
        <x:v>S06</x:v>
      </x:c>
      <x:c r="N5" s="31" t="str">
        <x:v>国家能源局</x:v>
      </x:c>
      <x:c r="O5" s="31" t="str">
        <x:v>https://www.nea.gov.cn/20250507/66d99bb4f5b74666b509f44111eb4696/c.html</x:v>
      </x:c>
      <x:c r="P5" s="31" t="str">
        <x:v>2025-05-07</x:v>
      </x:c>
      <x:c r="Q5" s="31" t="str">
        <x:v>2026-09-11</x:v>
      </x:c>
      <x:c r="R5" s="31" t="str">
        <x:v>2026-09-11</x:v>
      </x:c>
      <x:c r="S5" s="31" t="str">
        <x:v>A</x:v>
      </x:c>
      <x:c r="T5" s="31" t="str">
        <x:v>事实</x:v>
      </x:c>
      <x:c r="U5" s="31" t="str">
        <x:v>否</x:v>
      </x:c>
      <x:c r="V5" s="31" t="str"/>
    </x:row>
    <x:row r="6" ht="43.20000076293945" hidden="0" customHeight="1">
      <x:c r="A6" s="24" t="str">
        <x:v>省级</x:v>
      </x:c>
      <x:c r="B6" s="25" t="str">
        <x:v>湖北省国民经济和社会发展第十五个五年规划纲要</x:v>
      </x:c>
      <x:c r="C6" s="25" t="str"/>
      <x:c r="D6" s="25" t="str">
        <x:v>2026-04-23</x:v>
      </x:c>
      <x:c r="E6" s="25" t="str">
        <x:v>湖北省人民政府</x:v>
      </x:c>
      <x:c r="F6" s="25" t="str">
        <x:v>湖北能源与产业主体</x:v>
      </x:c>
      <x:c r="G6" s="25" t="str">
        <x:v>构建新型能源体系、支持绿色转型</x:v>
      </x:c>
      <x:c r="H6" s="25" t="str">
        <x:v>需由专项政策落实到项目</x:v>
      </x:c>
      <x:c r="I6" s="25" t="str">
        <x:v>提供省级战略方向</x:v>
      </x:c>
      <x:c r="J6" s="25" t="str">
        <x:v>对接后续专项规划和项目清单</x:v>
      </x:c>
      <x:c r="K6" s="25" t="str">
        <x:v>有效</x:v>
      </x:c>
      <x:c r="L6" s="25" t="str">
        <x:v>R030</x:v>
      </x:c>
      <x:c r="M6" s="25" t="str">
        <x:v>S03</x:v>
      </x:c>
      <x:c r="N6" s="25" t="str">
        <x:v>湖北省人民政府</x:v>
      </x:c>
      <x:c r="O6" s="25" t="str">
        <x:v>https://www.hubei.gov.cn/zwgk/hbyw/hbywqb/202604/t20260423_5920799.shtml</x:v>
      </x:c>
      <x:c r="P6" s="25" t="str">
        <x:v>2026-04-23</x:v>
      </x:c>
      <x:c r="Q6" s="25" t="str">
        <x:v>2026-09-11</x:v>
      </x:c>
      <x:c r="R6" s="25" t="str">
        <x:v>2026-09-11</x:v>
      </x:c>
      <x:c r="S6" s="25" t="str">
        <x:v>A</x:v>
      </x:c>
      <x:c r="T6" s="25" t="str">
        <x:v>事实</x:v>
      </x:c>
      <x:c r="U6" s="25" t="str">
        <x:v>否</x:v>
      </x:c>
      <x:c r="V6" s="2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28" hidden="0" customWidth="1"/>
    <x:col min="18" max="18" width="11" hidden="0" customWidth="1"/>
    <x:col min="19" max="19" width="11" hidden="0" customWidth="1"/>
    <x:col min="20" max="20" width="15" hidden="0" customWidth="1"/>
    <x:col min="21" max="21" width="11" hidden="0" customWidth="1"/>
    <x:col min="22" max="22" width="11" hidden="0" customWidth="1"/>
    <x:col min="23" max="23" width="13" hidden="0" customWidth="1"/>
    <x:col min="24" max="24" width="11" hidden="0" customWidth="1"/>
  </x:cols>
  <x:sheetData>
    <x:row r="1" ht="15" hidden="0" customHeight="1">
      <x:c r="A1" s="10" t="str">
        <x:v>企业名称</x:v>
      </x:c>
      <x:c r="B1" s="11" t="str">
        <x:v>企业类型</x:v>
      </x:c>
      <x:c r="C1" s="11" t="str">
        <x:v>所在地区</x:v>
      </x:c>
      <x:c r="D1" s="11" t="str">
        <x:v>产业环节</x:v>
      </x:c>
      <x:c r="E1" s="11" t="str">
        <x:v>核心产品</x:v>
      </x:c>
      <x:c r="F1" s="11" t="str">
        <x:v>核心技术</x:v>
      </x:c>
      <x:c r="G1" s="11" t="str">
        <x:v>资质</x:v>
      </x:c>
      <x:c r="H1" s="11" t="str">
        <x:v>客户订单证据</x:v>
      </x:c>
      <x:c r="I1" s="11" t="str">
        <x:v>经营财务证据</x:v>
      </x:c>
      <x:c r="J1" s="11" t="str">
        <x:v>融资股权证据</x:v>
      </x:c>
      <x:c r="K1" s="11" t="str">
        <x:v>风险不利信息</x:v>
      </x:c>
      <x:c r="L1" s="11" t="str">
        <x:v>主体协同方式</x:v>
      </x:c>
      <x:c r="M1" s="11" t="str">
        <x:v>尽调事项</x:v>
      </x:c>
      <x:c r="N1" s="11" t="str">
        <x:v>记录ID</x:v>
      </x:c>
      <x:c r="O1" s="11" t="str">
        <x:v>来源ID</x:v>
      </x:c>
      <x:c r="P1" s="11" t="str">
        <x:v>发布主体</x:v>
      </x:c>
      <x:c r="Q1" s="11" t="str">
        <x:v>来源链接</x:v>
      </x:c>
      <x:c r="R1" s="11" t="str">
        <x:v>发布日期</x:v>
      </x:c>
      <x:c r="S1" s="11" t="str">
        <x:v>查询日期</x:v>
      </x:c>
      <x:c r="T1" s="11" t="str">
        <x:v>信息更新时间</x:v>
      </x:c>
      <x:c r="U1" s="11" t="str">
        <x:v>可信度</x:v>
      </x:c>
      <x:c r="V1" s="11" t="str">
        <x:v>数据属性</x:v>
      </x:c>
      <x:c r="W1" s="11" t="str">
        <x:v>待核实标记</x:v>
      </x:c>
      <x:c r="X1" s="12" t="str">
        <x:v>备注</x:v>
      </x:c>
    </x:row>
    <x:row r="2" ht="32.400001525878906" hidden="0" customHeight="1">
      <x:c r="A2" s="24" t="str">
        <x:v>宁德时代</x:v>
      </x:c>
      <x:c r="B2" s="25" t="str">
        <x:v>电池及系统企业</x:v>
      </x:c>
      <x:c r="C2" s="25" t="str">
        <x:v>福建宁德</x:v>
      </x:c>
      <x:c r="D2" s="25" t="str">
        <x:v>电芯/系统集成</x:v>
      </x:c>
      <x:c r="E2" s="25" t="str">
        <x:v>储能电池与系统</x:v>
      </x:c>
      <x:c r="F2" s="25" t="str">
        <x:v>电芯、系统集成与安全</x:v>
      </x:c>
      <x:c r="G2" s="25" t="str">
        <x:v>公开披露待逐项核验</x:v>
      </x:c>
      <x:c r="H2" s="25" t="str">
        <x:v>2025年储能电池销量121GWh（企业披露）</x:v>
      </x:c>
      <x:c r="I2" s="25" t="str">
        <x:v>年报披露，需进一步拆分储能盈利</x:v>
      </x:c>
      <x:c r="J2" s="25" t="str">
        <x:v>上市公司公开披露</x:v>
      </x:c>
      <x:c r="K2" s="25" t="str">
        <x:v>价格竞争、客户集中与安全责任</x:v>
      </x:c>
      <x:c r="L2" s="25" t="str">
        <x:v>作为龙头标杆与潜在产业协同对象，不等同建议投资</x:v>
      </x:c>
      <x:c r="M2" s="25" t="str">
        <x:v>湖北业务、项目毛利、质保、事故与召回、估值</x:v>
      </x:c>
      <x:c r="N2" s="25" t="str">
        <x:v>R031</x:v>
      </x:c>
      <x:c r="O2" s="25" t="str">
        <x:v>S08</x:v>
      </x:c>
      <x:c r="P2" s="25" t="str">
        <x:v>宁德时代</x:v>
      </x:c>
      <x:c r="Q2" s="25" t="str">
        <x:v>https://static.cninfo.com.cn/finalpage/2026-03-10/1225002214.PDF</x:v>
      </x:c>
      <x:c r="R2" s="25" t="str">
        <x:v>2026-03-10</x:v>
      </x:c>
      <x:c r="S2" s="25" t="str">
        <x:v>2026-09-11</x:v>
      </x:c>
      <x:c r="T2" s="25" t="str">
        <x:v>2026-09-11</x:v>
      </x:c>
      <x:c r="U2" s="25" t="str">
        <x:v>B</x:v>
      </x:c>
      <x:c r="V2" s="25" t="str">
        <x:v>企业披露</x:v>
      </x:c>
      <x:c r="W2" s="25" t="str">
        <x:v>否</x:v>
      </x:c>
      <x:c r="X2" s="25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3" hidden="0" customWidth="1"/>
    <x:col min="14" max="14" width="11" hidden="0" customWidth="1"/>
    <x:col min="15" max="15" width="11" hidden="0" customWidth="1"/>
    <x:col min="16" max="16" width="11" hidden="0" customWidth="1"/>
    <x:col min="17" max="17" width="28" hidden="0" customWidth="1"/>
    <x:col min="18" max="18" width="11" hidden="0" customWidth="1"/>
    <x:col min="19" max="19" width="11" hidden="0" customWidth="1"/>
    <x:col min="20" max="20" width="15" hidden="0" customWidth="1"/>
    <x:col min="21" max="21" width="11" hidden="0" customWidth="1"/>
    <x:col min="22" max="22" width="11" hidden="0" customWidth="1"/>
    <x:col min="23" max="23" width="13" hidden="0" customWidth="1"/>
    <x:col min="24" max="24" width="11" hidden="0" customWidth="1"/>
  </x:cols>
  <x:sheetData>
    <x:row r="1" ht="15" hidden="0" customHeight="1">
      <x:c r="A1" s="10" t="str">
        <x:v>项目名称</x:v>
      </x:c>
      <x:c r="B1" s="11" t="str">
        <x:v>项目类型</x:v>
      </x:c>
      <x:c r="C1" s="11" t="str">
        <x:v>发生日期</x:v>
      </x:c>
      <x:c r="D1" s="11" t="str">
        <x:v>金额</x:v>
      </x:c>
      <x:c r="E1" s="11" t="str">
        <x:v>币种单位</x:v>
      </x:c>
      <x:c r="F1" s="11" t="str">
        <x:v>参与方</x:v>
      </x:c>
      <x:c r="G1" s="11" t="str">
        <x:v>地点</x:v>
      </x:c>
      <x:c r="H1" s="11" t="str">
        <x:v>状态</x:v>
      </x:c>
      <x:c r="I1" s="11" t="str">
        <x:v>资金用途</x:v>
      </x:c>
      <x:c r="J1" s="11" t="str">
        <x:v>产业价值</x:v>
      </x:c>
      <x:c r="K1" s="11" t="str">
        <x:v>合作诉求</x:v>
      </x:c>
      <x:c r="L1" s="11" t="str">
        <x:v>风险</x:v>
      </x:c>
      <x:c r="M1" s="11" t="str">
        <x:v>下一步动作</x:v>
      </x:c>
      <x:c r="N1" s="11" t="str">
        <x:v>记录ID</x:v>
      </x:c>
      <x:c r="O1" s="11" t="str">
        <x:v>来源ID</x:v>
      </x:c>
      <x:c r="P1" s="11" t="str">
        <x:v>发布主体</x:v>
      </x:c>
      <x:c r="Q1" s="11" t="str">
        <x:v>来源链接</x:v>
      </x:c>
      <x:c r="R1" s="11" t="str">
        <x:v>发布日期</x:v>
      </x:c>
      <x:c r="S1" s="11" t="str">
        <x:v>查询日期</x:v>
      </x:c>
      <x:c r="T1" s="11" t="str">
        <x:v>信息更新时间</x:v>
      </x:c>
      <x:c r="U1" s="11" t="str">
        <x:v>可信度</x:v>
      </x:c>
      <x:c r="V1" s="11" t="str">
        <x:v>数据属性</x:v>
      </x:c>
      <x:c r="W1" s="11" t="str">
        <x:v>待核实标记</x:v>
      </x:c>
      <x:c r="X1" s="12" t="str">
        <x:v>备注</x:v>
      </x:c>
    </x:row>
    <x:row r="2" ht="32.400001525878906" hidden="0" customHeight="1">
      <x:c r="A2" s="24" t="str">
        <x:v>长阳龙舟坪镇新型储能电站</x:v>
      </x:c>
      <x:c r="B2" s="25" t="str">
        <x:v>全钒液流电池储能项目</x:v>
      </x:c>
      <x:c r="C2" s="25" t="str">
        <x:v>2026-01</x:v>
      </x:c>
      <x:c r="D2" s="25" t="str">
        <x:v>待核</x:v>
      </x:c>
      <x:c r="E2" s="25" t="str">
        <x:v>人民币</x:v>
      </x:c>
      <x:c r="F2" s="25" t="str">
        <x:v>长阳城发集团等参与方待核</x:v>
      </x:c>
      <x:c r="G2" s="25" t="str">
        <x:v>湖北宜昌长阳</x:v>
      </x:c>
      <x:c r="H2" s="25" t="str">
        <x:v>20MW单元已并网；全站计划50MW</x:v>
      </x:c>
      <x:c r="I2" s="25" t="str">
        <x:v>待核</x:v>
      </x:c>
      <x:c r="J2" s="25" t="str">
        <x:v>湖北长时储能真实验证场</x:v>
      </x:c>
      <x:c r="K2" s="25" t="str">
        <x:v>运营数据合作/项目跟投/供应链协同需另行授权</x:v>
      </x:c>
      <x:c r="L2" s="25" t="str">
        <x:v>收益机制、CAPEX、效率和电解液资产安排未公开</x:v>
      </x:c>
      <x:c r="M2" s="25" t="str">
        <x:v>获取可研、结算、运行和安全数据后再决策</x:v>
      </x:c>
      <x:c r="N2" s="25" t="str">
        <x:v>R032</x:v>
      </x:c>
      <x:c r="O2" s="25" t="str">
        <x:v>S04</x:v>
      </x:c>
      <x:c r="P2" s="25" t="str">
        <x:v>湖北省经济和信息化厅（转载湖北日报）</x:v>
      </x:c>
      <x:c r="Q2" s="25" t="str">
        <x:v>https://jxt.hubei.gov.cn/bmdt/szgz/202601/t20260121_5860531.shtml</x:v>
      </x:c>
      <x:c r="R2" s="25" t="str">
        <x:v>2026-01-21</x:v>
      </x:c>
      <x:c r="S2" s="25" t="str">
        <x:v>2026-09-11</x:v>
      </x:c>
      <x:c r="T2" s="25" t="str">
        <x:v>2026-09-11</x:v>
      </x:c>
      <x:c r="U2" s="25" t="str">
        <x:v>A</x:v>
      </x:c>
      <x:c r="V2" s="25" t="str">
        <x:v>事实</x:v>
      </x:c>
      <x:c r="W2" s="25" t="str">
        <x:v>否</x:v>
      </x:c>
      <x:c r="X2" s="25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8" hidden="0" customWidth="1"/>
    <x:col min="15" max="15" width="11" hidden="0" customWidth="1"/>
    <x:col min="16" max="16" width="11" hidden="0" customWidth="1"/>
    <x:col min="17" max="17" width="15" hidden="0" customWidth="1"/>
    <x:col min="18" max="18" width="11" hidden="0" customWidth="1"/>
    <x:col min="19" max="19" width="11" hidden="0" customWidth="1"/>
    <x:col min="20" max="20" width="13" hidden="0" customWidth="1"/>
    <x:col min="21" max="21" width="11" hidden="0" customWidth="1"/>
  </x:cols>
  <x:sheetData>
    <x:row r="1" ht="15" hidden="0" customHeight="1">
      <x:c r="A1" s="10" t="str">
        <x:v>问题类型</x:v>
      </x:c>
      <x:c r="B1" s="11" t="str">
        <x:v>问题表现</x:v>
      </x:c>
      <x:c r="C1" s="11" t="str">
        <x:v>原因</x:v>
      </x:c>
      <x:c r="D1" s="11" t="str">
        <x:v>产业影响</x:v>
      </x:c>
      <x:c r="E1" s="11" t="str">
        <x:v>影响程度</x:v>
      </x:c>
      <x:c r="F1" s="11" t="str">
        <x:v>解决路径</x:v>
      </x:c>
      <x:c r="G1" s="11" t="str">
        <x:v>责任主体</x:v>
      </x:c>
      <x:c r="H1" s="11" t="str">
        <x:v>解决时序</x:v>
      </x:c>
      <x:c r="I1" s="11" t="str">
        <x:v>验证指标</x:v>
      </x:c>
      <x:c r="J1" s="11" t="str">
        <x:v>重启条件</x:v>
      </x:c>
      <x:c r="K1" s="11" t="str">
        <x:v>记录ID</x:v>
      </x:c>
      <x:c r="L1" s="11" t="str">
        <x:v>来源ID</x:v>
      </x:c>
      <x:c r="M1" s="11" t="str">
        <x:v>发布主体</x:v>
      </x:c>
      <x:c r="N1" s="11" t="str">
        <x:v>来源链接</x:v>
      </x:c>
      <x:c r="O1" s="11" t="str">
        <x:v>发布日期</x:v>
      </x:c>
      <x:c r="P1" s="11" t="str">
        <x:v>查询日期</x:v>
      </x:c>
      <x:c r="Q1" s="11" t="str">
        <x:v>信息更新时间</x:v>
      </x:c>
      <x:c r="R1" s="11" t="str">
        <x:v>可信度</x:v>
      </x:c>
      <x:c r="S1" s="11" t="str">
        <x:v>数据属性</x:v>
      </x:c>
      <x:c r="T1" s="11" t="str">
        <x:v>待核实标记</x:v>
      </x:c>
      <x:c r="U1" s="12" t="str">
        <x:v>备注</x:v>
      </x:c>
    </x:row>
    <x:row r="2" ht="32.400001525878906" hidden="0" customHeight="1">
      <x:c r="A2" s="28" t="str">
        <x:v>市场机制</x:v>
      </x:c>
      <x:c r="B2" s="29" t="str">
        <x:v>项目收入来源与叠加规则存在地区差异</x:v>
      </x:c>
      <x:c r="C2" s="29" t="str">
        <x:v>现货、辅助服务、容量租赁等规则分省演进</x:v>
      </x:c>
      <x:c r="D2" s="29" t="str">
        <x:v>现金流可预测性不足</x:v>
      </x:c>
      <x:c r="E2" s="29" t="str">
        <x:v>高</x:v>
      </x:c>
      <x:c r="F2" s="29" t="str">
        <x:v>投前锁定适用规则与合同，不照搬外省收益</x:v>
      </x:c>
      <x:c r="G2" s="29" t="str">
        <x:v>项目公司/电力交易团队</x:v>
      </x:c>
      <x:c r="H2" s="29" t="str">
        <x:v>投前</x:v>
      </x:c>
      <x:c r="I2" s="29" t="str">
        <x:v>已签收益比例、利用小时、结算周期</x:v>
      </x:c>
      <x:c r="J2" s="29" t="str">
        <x:v>湖北规则与合同不能支持基准收益</x:v>
      </x:c>
      <x:c r="K2" s="29" t="str">
        <x:v>R033</x:v>
      </x:c>
      <x:c r="L2" s="29" t="str">
        <x:v>S07</x:v>
      </x:c>
      <x:c r="M2" s="29" t="str">
        <x:v>湖南能源监管办（国家能源局网站）</x:v>
      </x:c>
      <x:c r="N2" s="29" t="str">
        <x:v>https://www.nea.gov.cn/20251114/4f1068f616e945d282655926b6bac54f/c.html</x:v>
      </x:c>
      <x:c r="O2" s="29" t="str">
        <x:v>2025-11-14</x:v>
      </x:c>
      <x:c r="P2" s="29" t="str">
        <x:v>2026-09-11</x:v>
      </x:c>
      <x:c r="Q2" s="29" t="str">
        <x:v>2026-09-11</x:v>
      </x:c>
      <x:c r="R2" s="29" t="str">
        <x:v>B</x:v>
      </x:c>
      <x:c r="S2" s="29" t="str">
        <x:v>研究判断</x:v>
      </x:c>
      <x:c r="T2" s="29" t="str">
        <x:v>否</x:v>
      </x:c>
      <x:c r="U2" s="29" t="str"/>
    </x:row>
    <x:row r="3" ht="32.400001525878906" hidden="0" customHeight="1">
      <x:c r="A3" s="30" t="str">
        <x:v>安全</x:v>
      </x:c>
      <x:c r="B3" s="31" t="str">
        <x:v>电化学储能存在热失控与责任界面风险</x:v>
      </x:c>
      <x:c r="C3" s="31" t="str">
        <x:v>电芯、集成、施工、运行共同作用</x:v>
      </x:c>
      <x:c r="D3" s="31" t="str">
        <x:v>可能造成停运、赔偿和资产损失</x:v>
      </x:c>
      <x:c r="E3" s="31" t="str">
        <x:v>高</x:v>
      </x:c>
      <x:c r="F3" s="31" t="str">
        <x:v>全生命周期监测、第三方检测、保险和责任追索</x:v>
      </x:c>
      <x:c r="G3" s="31" t="str">
        <x:v>业主/集成商/运营商</x:v>
      </x:c>
      <x:c r="H3" s="31" t="str">
        <x:v>全周期</x:v>
      </x:c>
      <x:c r="I3" s="31" t="str">
        <x:v>事故率、告警闭环率、保险覆盖</x:v>
      </x:c>
      <x:c r="J3" s="31" t="str">
        <x:v>无法通过标准符合性和安全尽调</x:v>
      </x:c>
      <x:c r="K3" s="31" t="str">
        <x:v>R034</x:v>
      </x:c>
      <x:c r="L3" s="31" t="str">
        <x:v>S05</x:v>
      </x:c>
      <x:c r="M3" s="31" t="str">
        <x:v>国家市场监督管理总局、国家标准化管理委员会</x:v>
      </x:c>
      <x:c r="N3" s="31" t="str">
        <x:v>https://openstd.samr.gov.cn/bzgk/std/newGbInfo?hcno=5FA0CEFF0CF542D232EA0E89905DB6E4</x:v>
      </x:c>
      <x:c r="O3" s="31" t="str">
        <x:v>2024-10-26</x:v>
      </x:c>
      <x:c r="P3" s="31" t="str">
        <x:v>2026-09-11</x:v>
      </x:c>
      <x:c r="Q3" s="31" t="str">
        <x:v>2026-09-11</x:v>
      </x:c>
      <x:c r="R3" s="31" t="str">
        <x:v>A</x:v>
      </x:c>
      <x:c r="S3" s="31" t="str">
        <x:v>事实</x:v>
      </x:c>
      <x:c r="T3" s="31" t="str">
        <x:v>否</x:v>
      </x:c>
      <x:c r="U3" s="31" t="str"/>
    </x:row>
    <x:row r="4" ht="32.400001525878906" hidden="0" customHeight="1">
      <x:c r="A4" s="28" t="str">
        <x:v>产业秩序</x:v>
      </x:c>
      <x:c r="B4" s="29" t="str">
        <x:v>同质化与低价竞争可能侵蚀质量和利润</x:v>
      </x:c>
      <x:c r="C4" s="29" t="str">
        <x:v>扩产快、产品差异化不足</x:v>
      </x:c>
      <x:c r="D4" s="29" t="str">
        <x:v>制造投资回报和质量风险上升</x:v>
      </x:c>
      <x:c r="E4" s="29" t="str">
        <x:v>高</x:v>
      </x:c>
      <x:c r="F4" s="29" t="str">
        <x:v>不以新增通用产能为第一切入口</x:v>
      </x:c>
      <x:c r="G4" s="29" t="str">
        <x:v>投资平台/产业主管部门</x:v>
      </x:c>
      <x:c r="H4" s="29" t="str">
        <x:v>近期</x:v>
      </x:c>
      <x:c r="I4" s="29" t="str">
        <x:v>订单质量、毛利、质保计提</x:v>
      </x:c>
      <x:c r="J4" s="29" t="str">
        <x:v>仅依赖补贴或低价中标</x:v>
      </x:c>
      <x:c r="K4" s="29" t="str">
        <x:v>R035</x:v>
      </x:c>
      <x:c r="L4" s="29" t="str">
        <x:v>S02</x:v>
      </x:c>
      <x:c r="M4" s="29" t="str">
        <x:v>工业和信息化部等八部门</x:v>
      </x:c>
      <x:c r="N4" s="29" t="str">
        <x:v>https://www.miit.gov.cn/zwgk/zcjd/art/2025/art_d2cdb0db114246dab18d95b2ff2a2824.html</x:v>
      </x:c>
      <x:c r="O4" s="29" t="str">
        <x:v>2025-02-17</x:v>
      </x:c>
      <x:c r="P4" s="29" t="str">
        <x:v>2026-09-11</x:v>
      </x:c>
      <x:c r="Q4" s="29" t="str">
        <x:v>2026-09-11</x:v>
      </x:c>
      <x:c r="R4" s="29" t="str">
        <x:v>A</x:v>
      </x:c>
      <x:c r="S4" s="29" t="str">
        <x:v>事实</x:v>
      </x:c>
      <x:c r="T4" s="29" t="str">
        <x:v>否</x:v>
      </x:c>
      <x:c r="U4" s="29" t="str"/>
    </x:row>
    <x:row r="5" ht="32.400001525878906" hidden="0" customHeight="1">
      <x:c r="A5" s="32" t="str">
        <x:v>技术结构</x:v>
      </x:c>
      <x:c r="B5" s="33" t="str">
        <x:v>全国装机高度集中于锂离子路线</x:v>
      </x:c>
      <x:c r="C5" s="33" t="str">
        <x:v>成熟度、成本与供应链优势</x:v>
      </x:c>
      <x:c r="D5" s="33" t="str">
        <x:v>替代路线有窗口也有商业化风险</x:v>
      </x:c>
      <x:c r="E5" s="33" t="str">
        <x:v>中</x:v>
      </x:c>
      <x:c r="F5" s="33" t="str">
        <x:v>锂电重安全与运营，长时路线小额里程碑验证</x:v>
      </x:c>
      <x:c r="G5" s="33" t="str">
        <x:v>投资平台/技术团队</x:v>
      </x:c>
      <x:c r="H5" s="33" t="str">
        <x:v>中期</x:v>
      </x:c>
      <x:c r="I5" s="33" t="str">
        <x:v>非锂项目可用率、效率和单位投资</x:v>
      </x:c>
      <x:c r="J5" s="33" t="str">
        <x:v>无真实项目数据仍要求规模化投资</x:v>
      </x:c>
      <x:c r="K5" s="33" t="str">
        <x:v>R036</x:v>
      </x:c>
      <x:c r="L5" s="33" t="str">
        <x:v>S01</x:v>
      </x:c>
      <x:c r="M5" s="33" t="str">
        <x:v>国家能源局</x:v>
      </x:c>
      <x:c r="N5" s="33" t="str">
        <x:v>https://www.nea.gov.cn/20260130/50f657ce87f848e1a9a1861d1fd9aa23/c.html</x:v>
      </x:c>
      <x:c r="O5" s="33" t="str">
        <x:v>2026-01-30</x:v>
      </x:c>
      <x:c r="P5" s="33" t="str">
        <x:v>2026-09-11</x:v>
      </x:c>
      <x:c r="Q5" s="33" t="str">
        <x:v>2026-09-11</x:v>
      </x:c>
      <x:c r="R5" s="33" t="str">
        <x:v>A</x:v>
      </x:c>
      <x:c r="S5" s="33" t="str">
        <x:v>事实</x:v>
      </x:c>
      <x:c r="T5" s="33" t="str">
        <x:v>否</x:v>
      </x:c>
      <x:c r="U5" s="3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28" hidden="0" customWidth="1"/>
    <x:col min="13" max="13" width="11" hidden="0" customWidth="1"/>
    <x:col min="14" max="14" width="11" hidden="0" customWidth="1"/>
    <x:col min="15" max="15" width="15" hidden="0" customWidth="1"/>
    <x:col min="16" max="16" width="11" hidden="0" customWidth="1"/>
    <x:col min="17" max="17" width="11" hidden="0" customWidth="1"/>
    <x:col min="18" max="18" width="13" hidden="0" customWidth="1"/>
    <x:col min="19" max="19" width="11" hidden="0" customWidth="1"/>
  </x:cols>
  <x:sheetData>
    <x:row r="1" ht="15" hidden="0" customHeight="1">
      <x:c r="A1" s="10" t="str">
        <x:v>资源名称</x:v>
      </x:c>
      <x:c r="B1" s="11" t="str">
        <x:v>权属分类</x:v>
      </x:c>
      <x:c r="C1" s="11" t="str">
        <x:v>所在地</x:v>
      </x:c>
      <x:c r="D1" s="11" t="str">
        <x:v>公开证据</x:v>
      </x:c>
      <x:c r="E1" s="11" t="str">
        <x:v>能力规模</x:v>
      </x:c>
      <x:c r="F1" s="11" t="str">
        <x:v>可协同方式</x:v>
      </x:c>
      <x:c r="G1" s="11" t="str">
        <x:v>权限边界</x:v>
      </x:c>
      <x:c r="H1" s="11" t="str">
        <x:v>待核事项</x:v>
      </x:c>
      <x:c r="I1" s="11" t="str">
        <x:v>记录ID</x:v>
      </x:c>
      <x:c r="J1" s="11" t="str">
        <x:v>来源ID</x:v>
      </x:c>
      <x:c r="K1" s="11" t="str">
        <x:v>发布主体</x:v>
      </x:c>
      <x:c r="L1" s="11" t="str">
        <x:v>来源链接</x:v>
      </x:c>
      <x:c r="M1" s="11" t="str">
        <x:v>发布日期</x:v>
      </x:c>
      <x:c r="N1" s="11" t="str">
        <x:v>查询日期</x:v>
      </x:c>
      <x:c r="O1" s="11" t="str">
        <x:v>信息更新时间</x:v>
      </x:c>
      <x:c r="P1" s="11" t="str">
        <x:v>可信度</x:v>
      </x:c>
      <x:c r="Q1" s="11" t="str">
        <x:v>数据属性</x:v>
      </x:c>
      <x:c r="R1" s="11" t="str">
        <x:v>待核实标记</x:v>
      </x:c>
      <x:c r="S1" s="12" t="str">
        <x:v>备注</x:v>
      </x:c>
    </x:row>
    <x:row r="2" ht="32.400001525878906" hidden="0" customHeight="1">
      <x:c r="A2" s="28" t="str">
        <x:v>可投资资本金规模</x:v>
      </x:c>
      <x:c r="B2" s="29" t="str">
        <x:v>待内部核实</x:v>
      </x:c>
      <x:c r="C2" s="29" t="str">
        <x:v>湖北</x:v>
      </x:c>
      <x:c r="D2" s="29" t="str">
        <x:v>无公开主体资料</x:v>
      </x:c>
      <x:c r="E2" s="29" t="str">
        <x:v>待核</x:v>
      </x:c>
      <x:c r="F2" s="29" t="str">
        <x:v>决定股权与项目资本金工具上限</x:v>
      </x:c>
      <x:c r="G2" s="29" t="str">
        <x:v>未获得主体授权</x:v>
      </x:c>
      <x:c r="H2" s="29" t="str">
        <x:v>投资预算、期限、收益与风险约束</x:v>
      </x:c>
      <x:c r="I2" s="29" t="str">
        <x:v>R037</x:v>
      </x:c>
      <x:c r="J2" s="29" t="str">
        <x:v>S03</x:v>
      </x:c>
      <x:c r="K2" s="29" t="str">
        <x:v>湖北省人民政府</x:v>
      </x:c>
      <x:c r="L2" s="29" t="str">
        <x:v>https://www.hubei.gov.cn/zwgk/hbyw/hbywqb/202604/t20260423_5920799.shtml</x:v>
      </x:c>
      <x:c r="M2" s="29" t="str">
        <x:v>2026-04-23</x:v>
      </x:c>
      <x:c r="N2" s="29" t="str">
        <x:v>2026-09-11</x:v>
      </x:c>
      <x:c r="O2" s="29" t="str">
        <x:v>2026-09-11</x:v>
      </x:c>
      <x:c r="P2" s="29" t="str">
        <x:v>C</x:v>
      </x:c>
      <x:c r="Q2" s="29" t="str">
        <x:v>待核实</x:v>
      </x:c>
      <x:c r="R2" s="29" t="str">
        <x:v>是</x:v>
      </x:c>
      <x:c r="S2" s="29" t="str">
        <x:v>区域规划不能证明假设主体拥有该资源</x:v>
      </x:c>
    </x:row>
    <x:row r="3" ht="32.400001525878906" hidden="0" customHeight="1">
      <x:c r="A3" s="30" t="str">
        <x:v>园区/能源站/配电网/用能场景</x:v>
      </x:c>
      <x:c r="B3" s="31" t="str">
        <x:v>待内部核实</x:v>
      </x:c>
      <x:c r="C3" s="31" t="str">
        <x:v>湖北</x:v>
      </x:c>
      <x:c r="D3" s="31" t="str">
        <x:v>无公开主体资料</x:v>
      </x:c>
      <x:c r="E3" s="31" t="str">
        <x:v>待核</x:v>
      </x:c>
      <x:c r="F3" s="31" t="str">
        <x:v>决定能否开展用户侧或场景运营</x:v>
      </x:c>
      <x:c r="G3" s="31" t="str">
        <x:v>不得把区域公共场景视为主体自有</x:v>
      </x:c>
      <x:c r="H3" s="31" t="str">
        <x:v>权属、控制权、合同期限、用电曲线</x:v>
      </x:c>
      <x:c r="I3" s="31" t="str">
        <x:v>R038</x:v>
      </x:c>
      <x:c r="J3" s="31" t="str">
        <x:v>S03</x:v>
      </x:c>
      <x:c r="K3" s="31" t="str">
        <x:v>湖北省人民政府</x:v>
      </x:c>
      <x:c r="L3" s="31" t="str">
        <x:v>https://www.hubei.gov.cn/zwgk/hbyw/hbywqb/202604/t20260423_5920799.shtml</x:v>
      </x:c>
      <x:c r="M3" s="31" t="str">
        <x:v>2026-04-23</x:v>
      </x:c>
      <x:c r="N3" s="31" t="str">
        <x:v>2026-09-11</x:v>
      </x:c>
      <x:c r="O3" s="31" t="str">
        <x:v>2026-09-11</x:v>
      </x:c>
      <x:c r="P3" s="31" t="str">
        <x:v>C</x:v>
      </x:c>
      <x:c r="Q3" s="31" t="str">
        <x:v>待核实</x:v>
      </x:c>
      <x:c r="R3" s="31" t="str">
        <x:v>是</x:v>
      </x:c>
      <x:c r="S3" s="31" t="str"/>
    </x:row>
    <x:row r="4" ht="21.600000381469727" hidden="0" customHeight="1">
      <x:c r="A4" s="24" t="str">
        <x:v>政府、电网及省属企业协同权限</x:v>
      </x:c>
      <x:c r="B4" s="25" t="str">
        <x:v>待内部核实</x:v>
      </x:c>
      <x:c r="C4" s="25" t="str">
        <x:v>湖北</x:v>
      </x:c>
      <x:c r="D4" s="25" t="str">
        <x:v>无公开主体资料</x:v>
      </x:c>
      <x:c r="E4" s="25" t="str">
        <x:v>待核</x:v>
      </x:c>
      <x:c r="F4" s="25" t="str">
        <x:v>决定招商、并网与项目协同可执行性</x:v>
      </x:c>
      <x:c r="G4" s="25" t="str">
        <x:v>需正式授权或协议</x:v>
      </x:c>
      <x:c r="H4" s="25" t="str">
        <x:v>授权文件、联系人、决策流程</x:v>
      </x:c>
      <x:c r="I4" s="25" t="str">
        <x:v>R039</x:v>
      </x:c>
      <x:c r="J4" s="25" t="str">
        <x:v>S03</x:v>
      </x:c>
      <x:c r="K4" s="25" t="str">
        <x:v>湖北省人民政府</x:v>
      </x:c>
      <x:c r="L4" s="25" t="str">
        <x:v>https://www.hubei.gov.cn/zwgk/hbyw/hbywqb/202604/t20260423_5920799.shtml</x:v>
      </x:c>
      <x:c r="M4" s="25" t="str">
        <x:v>2026-04-23</x:v>
      </x:c>
      <x:c r="N4" s="25" t="str">
        <x:v>2026-09-11</x:v>
      </x:c>
      <x:c r="O4" s="25" t="str">
        <x:v>2026-09-11</x:v>
      </x:c>
      <x:c r="P4" s="25" t="str">
        <x:v>C</x:v>
      </x:c>
      <x:c r="Q4" s="25" t="str">
        <x:v>待核实</x:v>
      </x:c>
      <x:c r="R4" s="25" t="str">
        <x:v>是</x:v>
      </x:c>
      <x:c r="S4" s="25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1" hidden="0" customWidth="1"/>
    <x:col min="9" max="9" width="11" hidden="0" customWidth="1"/>
    <x:col min="10" max="10" width="11" hidden="0" customWidth="1"/>
    <x:col min="11" max="11" width="17" hidden="0" customWidth="1"/>
    <x:col min="12" max="12" width="11" hidden="0" customWidth="1"/>
    <x:col min="13" max="13" width="11" hidden="0" customWidth="1"/>
    <x:col min="14" max="14" width="11" hidden="0" customWidth="1"/>
    <x:col min="15" max="15" width="28" hidden="0" customWidth="1"/>
    <x:col min="16" max="16" width="11" hidden="0" customWidth="1"/>
    <x:col min="17" max="17" width="11" hidden="0" customWidth="1"/>
    <x:col min="18" max="18" width="15" hidden="0" customWidth="1"/>
    <x:col min="19" max="19" width="11" hidden="0" customWidth="1"/>
    <x:col min="20" max="20" width="11" hidden="0" customWidth="1"/>
    <x:col min="21" max="21" width="13" hidden="0" customWidth="1"/>
    <x:col min="22" max="22" width="11" hidden="0" customWidth="1"/>
  </x:cols>
  <x:sheetData>
    <x:row r="1" ht="15" hidden="0" customHeight="1">
      <x:c r="A1" s="10" t="str">
        <x:v>对象类型</x:v>
      </x:c>
      <x:c r="B1" s="11" t="str">
        <x:v>对象名称</x:v>
      </x:c>
      <x:c r="C1" s="11" t="str">
        <x:v>评分模型</x:v>
      </x:c>
      <x:c r="D1" s="11" t="str">
        <x:v>权重版本</x:v>
      </x:c>
      <x:c r="E1" s="11" t="str">
        <x:v>单项得分</x:v>
      </x:c>
      <x:c r="F1" s="11" t="str">
        <x:v>综合得分</x:v>
      </x:c>
      <x:c r="G1" s="11" t="str">
        <x:v>评分覆盖率</x:v>
      </x:c>
      <x:c r="H1" s="11" t="str">
        <x:v>建议分级</x:v>
      </x:c>
      <x:c r="I1" s="11" t="str">
        <x:v>评分依据</x:v>
      </x:c>
      <x:c r="J1" s="11" t="str">
        <x:v>缺失维度</x:v>
      </x:c>
      <x:c r="K1" s="11" t="str">
        <x:v>尽调或验证动作</x:v>
      </x:c>
      <x:c r="L1" s="11" t="str">
        <x:v>记录ID</x:v>
      </x:c>
      <x:c r="M1" s="11" t="str">
        <x:v>来源ID</x:v>
      </x:c>
      <x:c r="N1" s="11" t="str">
        <x:v>发布主体</x:v>
      </x:c>
      <x:c r="O1" s="11" t="str">
        <x:v>来源链接</x:v>
      </x:c>
      <x:c r="P1" s="11" t="str">
        <x:v>发布日期</x:v>
      </x:c>
      <x:c r="Q1" s="11" t="str">
        <x:v>查询日期</x:v>
      </x:c>
      <x:c r="R1" s="11" t="str">
        <x:v>信息更新时间</x:v>
      </x:c>
      <x:c r="S1" s="11" t="str">
        <x:v>可信度</x:v>
      </x:c>
      <x:c r="T1" s="11" t="str">
        <x:v>数据属性</x:v>
      </x:c>
      <x:c r="U1" s="11" t="str">
        <x:v>待核实标记</x:v>
      </x:c>
      <x:c r="V1" s="12" t="str">
        <x:v>备注</x:v>
      </x:c>
    </x:row>
    <x:row r="2" ht="86.4000015258789" hidden="0" customHeight="1">
      <x:c r="A2" s="28" t="str">
        <x:v>产品方向</x:v>
      </x:c>
      <x:c r="B2" s="29" t="str">
        <x:v>锂离子电池储能系统集成</x:v>
      </x:c>
      <x:c r="C2" s="29" t="str">
        <x:v>能源基础设施六维模型</x:v>
      </x:c>
      <x:c r="D2" s="29" t="str">
        <x:v>storage-v1</x:v>
      </x:c>
      <x:c r="E2" s="29" t="str">
        <x:v>{"市场与政策确定性":5,"技术成熟与安全":4,"项目经济性可验证":4,"湖北产业协同":5,"国资工具适配":4,"风险可控与退出":3}</x:v>
      </x:c>
      <x:c r="F2" s="29" t="n">
        <x:v>86</x:v>
      </x:c>
      <x:c r="G2" s="29" t="n">
        <x:v>1</x:v>
      </x:c>
      <x:c r="H2" s="29" t="str">
        <x:v>A-进入尽调</x:v>
      </x:c>
      <x:c r="I2" s="29" t="str">
        <x:v>公开政策、全国装机、湖北项目和研究判断综合；分数仅排序尽调</x:v>
      </x:c>
      <x:c r="J2" s="29" t="str"/>
      <x:c r="K2" s="29" t="str">
        <x:v>核验湖北项目订单、毛利、安全与收益机制</x:v>
      </x:c>
      <x:c r="L2" s="29" t="str">
        <x:v>R040</x:v>
      </x:c>
      <x:c r="M2" s="29" t="str">
        <x:v>S01</x:v>
      </x:c>
      <x:c r="N2" s="29" t="str">
        <x:v>国家能源局</x:v>
      </x:c>
      <x:c r="O2" s="29" t="str">
        <x:v>https://www.nea.gov.cn/20260130/50f657ce87f848e1a9a1861d1fd9aa23/c.html</x:v>
      </x:c>
      <x:c r="P2" s="29" t="str">
        <x:v>2026-01-30</x:v>
      </x:c>
      <x:c r="Q2" s="29" t="str">
        <x:v>2026-09-11</x:v>
      </x:c>
      <x:c r="R2" s="29" t="str">
        <x:v>2026-09-11</x:v>
      </x:c>
      <x:c r="S2" s="29" t="str">
        <x:v>B</x:v>
      </x:c>
      <x:c r="T2" s="29" t="str">
        <x:v>研究判断</x:v>
      </x:c>
      <x:c r="U2" s="29" t="str">
        <x:v>是</x:v>
      </x:c>
      <x:c r="V2" s="29" t="str">
        <x:v>评分不是投资结论</x:v>
      </x:c>
    </x:row>
    <x:row r="3" ht="86.4000015258789" hidden="0" customHeight="1">
      <x:c r="A3" s="30" t="str">
        <x:v>产品方向</x:v>
      </x:c>
      <x:c r="B3" s="31" t="str">
        <x:v>压缩空气长时储能</x:v>
      </x:c>
      <x:c r="C3" s="31" t="str">
        <x:v>能源基础设施六维模型</x:v>
      </x:c>
      <x:c r="D3" s="31" t="str">
        <x:v>storage-v1</x:v>
      </x:c>
      <x:c r="E3" s="31" t="str">
        <x:v>{"市场与政策确定性":4,"技术成熟与安全":3,"项目经济性可验证":3,"湖北产业协同":3,"国资工具适配":5,"风险可控与退出":3}</x:v>
      </x:c>
      <x:c r="F3" s="31" t="n">
        <x:v>68</x:v>
      </x:c>
      <x:c r="G3" s="31" t="n">
        <x:v>1</x:v>
      </x:c>
      <x:c r="H3" s="31" t="str">
        <x:v>B-跟踪/项目验证</x:v>
      </x:c>
      <x:c r="I3" s="31" t="str">
        <x:v>公开政策、全国装机、湖北项目和研究判断综合；分数仅排序尽调</x:v>
      </x:c>
      <x:c r="J3" s="31" t="str"/>
      <x:c r="K3" s="31" t="str">
        <x:v>补齐项目级CAPEX、效率、运行和退出数据</x:v>
      </x:c>
      <x:c r="L3" s="31" t="str">
        <x:v>R041</x:v>
      </x:c>
      <x:c r="M3" s="31" t="str">
        <x:v>S04</x:v>
      </x:c>
      <x:c r="N3" s="31" t="str">
        <x:v>湖北省经济和信息化厅（转载湖北日报）</x:v>
      </x:c>
      <x:c r="O3" s="31" t="str">
        <x:v>https://jxt.hubei.gov.cn/bmdt/szgz/202601/t20260121_5860531.shtml</x:v>
      </x:c>
      <x:c r="P3" s="31" t="str">
        <x:v>2026-01-21</x:v>
      </x:c>
      <x:c r="Q3" s="31" t="str">
        <x:v>2026-09-11</x:v>
      </x:c>
      <x:c r="R3" s="31" t="str">
        <x:v>2026-09-11</x:v>
      </x:c>
      <x:c r="S3" s="31" t="str">
        <x:v>B</x:v>
      </x:c>
      <x:c r="T3" s="31" t="str">
        <x:v>研究判断</x:v>
      </x:c>
      <x:c r="U3" s="31" t="str">
        <x:v>是</x:v>
      </x:c>
      <x:c r="V3" s="31" t="str">
        <x:v>评分不是投资结论</x:v>
      </x:c>
    </x:row>
    <x:row r="4" ht="86.4000015258789" hidden="0" customHeight="1">
      <x:c r="A4" s="28" t="str">
        <x:v>产品方向</x:v>
      </x:c>
      <x:c r="B4" s="29" t="str">
        <x:v>全钒液流电池储能</x:v>
      </x:c>
      <x:c r="C4" s="29" t="str">
        <x:v>能源基础设施六维模型</x:v>
      </x:c>
      <x:c r="D4" s="29" t="str">
        <x:v>storage-v1</x:v>
      </x:c>
      <x:c r="E4" s="29" t="str">
        <x:v>{"市场与政策确定性":4,"技术成熟与安全":4,"项目经济性可验证":2,"湖北产业协同":3,"国资工具适配":4,"风险可控与退出":3}</x:v>
      </x:c>
      <x:c r="F4" s="29" t="n">
        <x:v>66</x:v>
      </x:c>
      <x:c r="G4" s="29" t="n">
        <x:v>1</x:v>
      </x:c>
      <x:c r="H4" s="29" t="str">
        <x:v>B-跟踪/项目验证</x:v>
      </x:c>
      <x:c r="I4" s="29" t="str">
        <x:v>公开政策、全国装机、湖北项目和研究判断综合；分数仅排序尽调</x:v>
      </x:c>
      <x:c r="J4" s="29" t="str"/>
      <x:c r="K4" s="29" t="str">
        <x:v>补齐项目级CAPEX、效率、运行和退出数据</x:v>
      </x:c>
      <x:c r="L4" s="29" t="str">
        <x:v>R042</x:v>
      </x:c>
      <x:c r="M4" s="29" t="str">
        <x:v>S04</x:v>
      </x:c>
      <x:c r="N4" s="29" t="str">
        <x:v>湖北省经济和信息化厅（转载湖北日报）</x:v>
      </x:c>
      <x:c r="O4" s="29" t="str">
        <x:v>https://jxt.hubei.gov.cn/bmdt/szgz/202601/t20260121_5860531.shtml</x:v>
      </x:c>
      <x:c r="P4" s="29" t="str">
        <x:v>2026-01-21</x:v>
      </x:c>
      <x:c r="Q4" s="29" t="str">
        <x:v>2026-09-11</x:v>
      </x:c>
      <x:c r="R4" s="29" t="str">
        <x:v>2026-09-11</x:v>
      </x:c>
      <x:c r="S4" s="29" t="str">
        <x:v>B</x:v>
      </x:c>
      <x:c r="T4" s="29" t="str">
        <x:v>研究判断</x:v>
      </x:c>
      <x:c r="U4" s="29" t="str">
        <x:v>是</x:v>
      </x:c>
      <x:c r="V4" s="29" t="str">
        <x:v>评分不是投资结论</x:v>
      </x:c>
    </x:row>
    <x:row r="5" ht="86.4000015258789" hidden="0" customHeight="1">
      <x:c r="A5" s="32" t="str">
        <x:v>产品方向</x:v>
      </x:c>
      <x:c r="B5" s="33" t="str">
        <x:v>钠离子电池储能</x:v>
      </x:c>
      <x:c r="C5" s="33" t="str">
        <x:v>能源基础设施六维模型</x:v>
      </x:c>
      <x:c r="D5" s="33" t="str">
        <x:v>storage-v1</x:v>
      </x:c>
      <x:c r="E5" s="33" t="str">
        <x:v>{"市场与政策确定性":3,"技术成熟与安全":3,"项目经济性可验证":2,"湖北产业协同":3,"国资工具适配":3,"风险可控与退出":2}</x:v>
      </x:c>
      <x:c r="F5" s="33" t="n">
        <x:v>54</x:v>
      </x:c>
      <x:c r="G5" s="33" t="n">
        <x:v>1</x:v>
      </x:c>
      <x:c r="H5" s="33" t="str">
        <x:v>C-里程碑观察</x:v>
      </x:c>
      <x:c r="I5" s="33" t="str">
        <x:v>公开政策、全国装机、湖北项目和研究判断综合；分数仅排序尽调</x:v>
      </x:c>
      <x:c r="J5" s="33" t="str"/>
      <x:c r="K5" s="33" t="str">
        <x:v>补齐项目级CAPEX、效率、运行和退出数据</x:v>
      </x:c>
      <x:c r="L5" s="33" t="str">
        <x:v>R043</x:v>
      </x:c>
      <x:c r="M5" s="33" t="str">
        <x:v>S01</x:v>
      </x:c>
      <x:c r="N5" s="33" t="str">
        <x:v>国家能源局</x:v>
      </x:c>
      <x:c r="O5" s="33" t="str">
        <x:v>https://www.nea.gov.cn/20260130/50f657ce87f848e1a9a1861d1fd9aa23/c.html</x:v>
      </x:c>
      <x:c r="P5" s="33" t="str">
        <x:v>2026-01-30</x:v>
      </x:c>
      <x:c r="Q5" s="33" t="str">
        <x:v>2026-09-11</x:v>
      </x:c>
      <x:c r="R5" s="33" t="str">
        <x:v>2026-09-11</x:v>
      </x:c>
      <x:c r="S5" s="33" t="str">
        <x:v>B</x:v>
      </x:c>
      <x:c r="T5" s="33" t="str">
        <x:v>研究判断</x:v>
      </x:c>
      <x:c r="U5" s="33" t="str">
        <x:v>是</x:v>
      </x:c>
      <x:c r="V5" s="33" t="str">
        <x:v>评分不是投资结论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5" hidden="0" customWidth="1"/>
    <x:col min="10" max="10" width="13" hidden="0" customWidth="1"/>
    <x:col min="11" max="11" width="11" hidden="0" customWidth="1"/>
    <x:col min="12" max="12" width="11" hidden="0" customWidth="1"/>
    <x:col min="13" max="13" width="13" hidden="0" customWidth="1"/>
    <x:col min="14" max="14" width="23" hidden="0" customWidth="1"/>
    <x:col min="15" max="15" width="11" hidden="0" customWidth="1"/>
    <x:col min="16" max="16" width="13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28" hidden="0" customWidth="1"/>
    <x:col min="22" max="22" width="11" hidden="0" customWidth="1"/>
    <x:col min="23" max="23" width="11" hidden="0" customWidth="1"/>
    <x:col min="24" max="24" width="15" hidden="0" customWidth="1"/>
    <x:col min="25" max="25" width="11" hidden="0" customWidth="1"/>
    <x:col min="26" max="26" width="11" hidden="0" customWidth="1"/>
    <x:col min="27" max="27" width="13" hidden="0" customWidth="1"/>
    <x:col min="28" max="28" width="11" hidden="0" customWidth="1"/>
  </x:cols>
  <x:sheetData>
    <x:row r="1" ht="15" hidden="0" customHeight="1">
      <x:c r="A1" s="10" t="str">
        <x:v>模型ID</x:v>
      </x:c>
      <x:c r="B1" s="11" t="str">
        <x:v>场景或项目</x:v>
      </x:c>
      <x:c r="C1" s="11" t="str">
        <x:v>情景</x:v>
      </x:c>
      <x:c r="D1" s="11" t="str">
        <x:v>初始投入</x:v>
      </x:c>
      <x:c r="E1" s="11" t="str">
        <x:v>建设安装</x:v>
      </x:c>
      <x:c r="F1" s="11" t="str">
        <x:v>年运维</x:v>
      </x:c>
      <x:c r="G1" s="11" t="str">
        <x:v>人员成本</x:v>
      </x:c>
      <x:c r="H1" s="11" t="str">
        <x:v>利用率或产能</x:v>
      </x:c>
      <x:c r="I1" s="11" t="str">
        <x:v>服务量或销量</x:v>
      </x:c>
      <x:c r="J1" s="11" t="str">
        <x:v>价格或贡献</x:v>
      </x:c>
      <x:c r="K1" s="11" t="str">
        <x:v>年净收益</x:v>
      </x:c>
      <x:c r="L1" s="11" t="str">
        <x:v>使用年限</x:v>
      </x:c>
      <x:c r="M1" s="11" t="str">
        <x:v>静态回收期</x:v>
      </x:c>
      <x:c r="N1" s="11" t="str">
        <x:v>净现值或适用收益指标</x:v>
      </x:c>
      <x:c r="O1" s="11" t="str">
        <x:v>核心假设</x:v>
      </x:c>
      <x:c r="P1" s="11" t="str">
        <x:v>敏感性分析</x:v>
      </x:c>
      <x:c r="Q1" s="11" t="str">
        <x:v>适用边界</x:v>
      </x:c>
      <x:c r="R1" s="11" t="str">
        <x:v>记录ID</x:v>
      </x:c>
      <x:c r="S1" s="11" t="str">
        <x:v>来源ID</x:v>
      </x:c>
      <x:c r="T1" s="11" t="str">
        <x:v>发布主体</x:v>
      </x:c>
      <x:c r="U1" s="11" t="str">
        <x:v>来源链接</x:v>
      </x:c>
      <x:c r="V1" s="11" t="str">
        <x:v>发布日期</x:v>
      </x:c>
      <x:c r="W1" s="11" t="str">
        <x:v>查询日期</x:v>
      </x:c>
      <x:c r="X1" s="11" t="str">
        <x:v>信息更新时间</x:v>
      </x:c>
      <x:c r="Y1" s="11" t="str">
        <x:v>可信度</x:v>
      </x:c>
      <x:c r="Z1" s="11" t="str">
        <x:v>数据属性</x:v>
      </x:c>
      <x:c r="AA1" s="11" t="str">
        <x:v>待核实标记</x:v>
      </x:c>
      <x:c r="AB1" s="12" t="str">
        <x:v>备注</x:v>
      </x:c>
    </x:row>
    <x:row r="2" ht="54" hidden="0" customHeight="1">
      <x:c r="A2" s="28" t="str">
        <x:v>ROI-01</x:v>
      </x:c>
      <x:c r="B2" s="29" t="str">
        <x:v>湖北100MW/200MWh独立储能项目</x:v>
      </x:c>
      <x:c r="C2" s="29" t="str">
        <x:v>基准框架</x:v>
      </x:c>
      <x:c r="D2" s="29"/>
      <x:c r="E2" s="29"/>
      <x:c r="F2" s="29"/>
      <x:c r="G2" s="29"/>
      <x:c r="H2" s="29"/>
      <x:c r="I2" s="29"/>
      <x:c r="J2" s="29"/>
      <x:c r="K2" s="29" t="str">
        <x:f>IF(OR(H2="",I2="",J2=""),"",H2*I2*J2-F2-G2)</x:f>
      </x:c>
      <x:c r="L2" s="29" t="n">
        <x:v>15</x:v>
      </x:c>
      <x:c r="M2" s="29" t="str">
        <x:f>IFERROR((D2+E2)/K2,"")</x:f>
      </x:c>
      <x:c r="N2" s="29" t="str">
        <x:v>待CAPEX与湖北收益规则确认后测IRR/NPV</x:v>
      </x:c>
      <x:c r="O2" s="29" t="str">
        <x:v>初始投入、建设安装、年运维、利用率、交易价格均待项目级数据</x:v>
      </x:c>
      <x:c r="P2" s="29" t="str">
        <x:v>价格±20%；利用小时±20%；可用率与衰减</x:v>
      </x:c>
      <x:c r="Q2" s="29" t="str">
        <x:v>不得使用湖南0.187元/千瓦时直接替代湖北收入</x:v>
      </x:c>
      <x:c r="R2" s="29" t="str">
        <x:v>R044</x:v>
      </x:c>
      <x:c r="S2" s="29" t="str">
        <x:v>S07</x:v>
      </x:c>
      <x:c r="T2" s="29" t="str">
        <x:v>湖南能源监管办（国家能源局网站）</x:v>
      </x:c>
      <x:c r="U2" s="29" t="str">
        <x:v>https://www.nea.gov.cn/20251114/4f1068f616e945d282655926b6bac54f/c.html</x:v>
      </x:c>
      <x:c r="V2" s="29" t="str">
        <x:v>2025-11-14</x:v>
      </x:c>
      <x:c r="W2" s="29" t="str">
        <x:v>2026-09-11</x:v>
      </x:c>
      <x:c r="X2" s="29" t="str">
        <x:v>2026-09-11</x:v>
      </x:c>
      <x:c r="Y2" s="29" t="str">
        <x:v>B</x:v>
      </x:c>
      <x:c r="Z2" s="29" t="str">
        <x:v>测算框架</x:v>
      </x:c>
      <x:c r="AA2" s="29" t="str">
        <x:v>是</x:v>
      </x:c>
      <x:c r="AB2" s="29" t="str"/>
    </x:row>
    <x:row r="3" ht="43.20000076293945" hidden="0" customHeight="1">
      <x:c r="A3" s="32" t="str">
        <x:v>ROI-02</x:v>
      </x:c>
      <x:c r="B3" s="33" t="str">
        <x:v>宜昌50MW/200MWh全钒液流电池项目</x:v>
      </x:c>
      <x:c r="C3" s="33" t="str">
        <x:v>实证尽调框架</x:v>
      </x:c>
      <x:c r="D3" s="33"/>
      <x:c r="E3" s="33"/>
      <x:c r="F3" s="33"/>
      <x:c r="G3" s="33"/>
      <x:c r="H3" s="33"/>
      <x:c r="I3" s="33"/>
      <x:c r="J3" s="33"/>
      <x:c r="K3" s="33" t="str">
        <x:f>IF(OR(H3="",I3="",J3=""),"",H3*I3*J3-F3-G3)</x:f>
      </x:c>
      <x:c r="L3" s="33" t="n">
        <x:v>20</x:v>
      </x:c>
      <x:c r="M3" s="33" t="str">
        <x:f>IFERROR((D3+E3)/K3,"")</x:f>
      </x:c>
      <x:c r="N3" s="33" t="str">
        <x:v>待可研与运行数据后测项目IRR</x:v>
      </x:c>
      <x:c r="O3" s="33" t="str">
        <x:v>项目规模与4小时放电为公开事实；投资与收益未知</x:v>
      </x:c>
      <x:c r="P3" s="33" t="str">
        <x:v>系统效率、利用小时、建设延期、电解液残值</x:v>
      </x:c>
      <x:c r="Q3" s="33" t="str">
        <x:v>本测试不把公开报道扩展为财务结论</x:v>
      </x:c>
      <x:c r="R3" s="33" t="str">
        <x:v>R045</x:v>
      </x:c>
      <x:c r="S3" s="33" t="str">
        <x:v>S04</x:v>
      </x:c>
      <x:c r="T3" s="33" t="str">
        <x:v>湖北省经济和信息化厅（转载湖北日报）</x:v>
      </x:c>
      <x:c r="U3" s="33" t="str">
        <x:v>https://jxt.hubei.gov.cn/bmdt/szgz/202601/t20260121_5860531.shtml</x:v>
      </x:c>
      <x:c r="V3" s="33" t="str">
        <x:v>2026-01-21</x:v>
      </x:c>
      <x:c r="W3" s="33" t="str">
        <x:v>2026-09-11</x:v>
      </x:c>
      <x:c r="X3" s="33" t="str">
        <x:v>2026-09-11</x:v>
      </x:c>
      <x:c r="Y3" s="33" t="str">
        <x:v>B</x:v>
      </x:c>
      <x:c r="Z3" s="33" t="str">
        <x:v>测算框架</x:v>
      </x:c>
      <x:c r="AA3" s="33" t="str">
        <x:v>是</x:v>
      </x:c>
      <x:c r="AB3" s="33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28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10" t="str">
        <x:v>来源ID</x:v>
      </x:c>
      <x:c r="B1" s="11" t="str">
        <x:v>发布主体</x:v>
      </x:c>
      <x:c r="C1" s="11" t="str">
        <x:v>资料名称</x:v>
      </x:c>
      <x:c r="D1" s="11" t="str">
        <x:v>发布日期</x:v>
      </x:c>
      <x:c r="E1" s="11" t="str">
        <x:v>查询日期</x:v>
      </x:c>
      <x:c r="F1" s="11" t="str">
        <x:v>来源链接</x:v>
      </x:c>
      <x:c r="G1" s="11" t="str">
        <x:v>来源类别</x:v>
      </x:c>
      <x:c r="H1" s="11" t="str">
        <x:v>可信度</x:v>
      </x:c>
      <x:c r="I1" s="11" t="str">
        <x:v>适用记录</x:v>
      </x:c>
      <x:c r="J1" s="12" t="str">
        <x:v>核验状态</x:v>
      </x:c>
    </x:row>
    <x:row r="2" ht="21.600000381469727" hidden="0" customHeight="1">
      <x:c r="A2" s="28" t="str">
        <x:v>S01</x:v>
      </x:c>
      <x:c r="B2" s="29" t="str">
        <x:v>国家能源局</x:v>
      </x:c>
      <x:c r="C2" s="29" t="str">
        <x:v>2025年新型储能发展情况</x:v>
      </x:c>
      <x:c r="D2" s="29" t="str">
        <x:v>2026-01-30</x:v>
      </x:c>
      <x:c r="E2" s="29" t="str">
        <x:v>2026-09-11</x:v>
      </x:c>
      <x:c r="F2" s="29" t="str">
        <x:v>https://www.nea.gov.cn/20260130/50f657ce87f848e1a9a1861d1fd9aa23/c.html</x:v>
      </x:c>
      <x:c r="G2" s="29" t="str">
        <x:v>政府/标准原文</x:v>
      </x:c>
      <x:c r="H2" s="29" t="str">
        <x:v>A</x:v>
      </x:c>
      <x:c r="I2" s="29" t="str">
        <x:v>见来源ID关联记录</x:v>
      </x:c>
      <x:c r="J2" s="29" t="str">
        <x:v>已核验链接</x:v>
      </x:c>
    </x:row>
    <x:row r="3" ht="32.400001525878906" hidden="0" customHeight="1">
      <x:c r="A3" s="30" t="str">
        <x:v>S02</x:v>
      </x:c>
      <x:c r="B3" s="31" t="str">
        <x:v>工业和信息化部等八部门</x:v>
      </x:c>
      <x:c r="C3" s="31" t="str">
        <x:v>新型储能制造业高质量发展行动方案解读</x:v>
      </x:c>
      <x:c r="D3" s="31" t="str">
        <x:v>2025-02-17</x:v>
      </x:c>
      <x:c r="E3" s="31" t="str">
        <x:v>2026-09-11</x:v>
      </x:c>
      <x:c r="F3" s="31" t="str">
        <x:v>https://www.miit.gov.cn/zwgk/zcjd/art/2025/art_d2cdb0db114246dab18d95b2ff2a2824.html</x:v>
      </x:c>
      <x:c r="G3" s="31" t="str">
        <x:v>政府/标准原文</x:v>
      </x:c>
      <x:c r="H3" s="31" t="str">
        <x:v>A</x:v>
      </x:c>
      <x:c r="I3" s="31" t="str">
        <x:v>见来源ID关联记录</x:v>
      </x:c>
      <x:c r="J3" s="31" t="str">
        <x:v>已核验链接</x:v>
      </x:c>
    </x:row>
    <x:row r="4" ht="21.600000381469727" hidden="0" customHeight="1">
      <x:c r="A4" s="28" t="str">
        <x:v>S03</x:v>
      </x:c>
      <x:c r="B4" s="29" t="str">
        <x:v>湖北省人民政府</x:v>
      </x:c>
      <x:c r="C4" s="29" t="str">
        <x:v>湖北省十五五规划纲要</x:v>
      </x:c>
      <x:c r="D4" s="29" t="str">
        <x:v>2026-04-23</x:v>
      </x:c>
      <x:c r="E4" s="29" t="str">
        <x:v>2026-09-11</x:v>
      </x:c>
      <x:c r="F4" s="29" t="str">
        <x:v>https://www.hubei.gov.cn/zwgk/hbyw/hbywqb/202604/t20260423_5920799.shtml</x:v>
      </x:c>
      <x:c r="G4" s="29" t="str">
        <x:v>政府/标准原文</x:v>
      </x:c>
      <x:c r="H4" s="29" t="str">
        <x:v>A</x:v>
      </x:c>
      <x:c r="I4" s="29" t="str">
        <x:v>见来源ID关联记录</x:v>
      </x:c>
      <x:c r="J4" s="29" t="str">
        <x:v>已核验链接</x:v>
      </x:c>
    </x:row>
    <x:row r="5" ht="32.400001525878906" hidden="0" customHeight="1">
      <x:c r="A5" s="30" t="str">
        <x:v>S04</x:v>
      </x:c>
      <x:c r="B5" s="31" t="str">
        <x:v>湖北省经济和信息化厅（转载湖北日报）</x:v>
      </x:c>
      <x:c r="C5" s="31" t="str">
        <x:v>宜昌首个新型储能项目成功并网</x:v>
      </x:c>
      <x:c r="D5" s="31" t="str">
        <x:v>2026-01-21</x:v>
      </x:c>
      <x:c r="E5" s="31" t="str">
        <x:v>2026-09-11</x:v>
      </x:c>
      <x:c r="F5" s="31" t="str">
        <x:v>https://jxt.hubei.gov.cn/bmdt/szgz/202601/t20260121_5860531.shtml</x:v>
      </x:c>
      <x:c r="G5" s="31" t="str">
        <x:v>政府/标准原文</x:v>
      </x:c>
      <x:c r="H5" s="31" t="str">
        <x:v>A</x:v>
      </x:c>
      <x:c r="I5" s="31" t="str">
        <x:v>见来源ID关联记录</x:v>
      </x:c>
      <x:c r="J5" s="31" t="str">
        <x:v>已核验链接</x:v>
      </x:c>
    </x:row>
    <x:row r="6" ht="32.400001525878906" hidden="0" customHeight="1">
      <x:c r="A6" s="28" t="str">
        <x:v>S05</x:v>
      </x:c>
      <x:c r="B6" s="29" t="str">
        <x:v>国家市场监督管理总局、国家标准化管理委员会</x:v>
      </x:c>
      <x:c r="C6" s="29" t="str">
        <x:v>GB/T 44767-2024</x:v>
      </x:c>
      <x:c r="D6" s="29" t="str">
        <x:v>2024-10-26</x:v>
      </x:c>
      <x:c r="E6" s="29" t="str">
        <x:v>2026-09-11</x:v>
      </x:c>
      <x:c r="F6" s="29" t="str">
        <x:v>https://openstd.samr.gov.cn/bzgk/std/newGbInfo?hcno=5FA0CEFF0CF542D232EA0E89905DB6E4</x:v>
      </x:c>
      <x:c r="G6" s="29" t="str">
        <x:v>政府/标准原文</x:v>
      </x:c>
      <x:c r="H6" s="29" t="str">
        <x:v>A</x:v>
      </x:c>
      <x:c r="I6" s="29" t="str">
        <x:v>见来源ID关联记录</x:v>
      </x:c>
      <x:c r="J6" s="29" t="str">
        <x:v>已核验链接</x:v>
      </x:c>
    </x:row>
    <x:row r="7" ht="21.600000381469727" hidden="0" customHeight="1">
      <x:c r="A7" s="30" t="str">
        <x:v>S06</x:v>
      </x:c>
      <x:c r="B7" s="31" t="str">
        <x:v>国家能源局</x:v>
      </x:c>
      <x:c r="C7" s="31" t="str">
        <x:v>电化学储能电站安全管理通知</x:v>
      </x:c>
      <x:c r="D7" s="31" t="str">
        <x:v>2025-05-07</x:v>
      </x:c>
      <x:c r="E7" s="31" t="str">
        <x:v>2026-09-11</x:v>
      </x:c>
      <x:c r="F7" s="31" t="str">
        <x:v>https://www.nea.gov.cn/20250507/66d99bb4f5b74666b509f44111eb4696/c.html</x:v>
      </x:c>
      <x:c r="G7" s="31" t="str">
        <x:v>政府/标准原文</x:v>
      </x:c>
      <x:c r="H7" s="31" t="str">
        <x:v>A</x:v>
      </x:c>
      <x:c r="I7" s="31" t="str">
        <x:v>见来源ID关联记录</x:v>
      </x:c>
      <x:c r="J7" s="31" t="str">
        <x:v>已核验链接</x:v>
      </x:c>
    </x:row>
    <x:row r="8" ht="32.400001525878906" hidden="0" customHeight="1">
      <x:c r="A8" s="28" t="str">
        <x:v>S07</x:v>
      </x:c>
      <x:c r="B8" s="29" t="str">
        <x:v>湖南能源监管办（国家能源局网站）</x:v>
      </x:c>
      <x:c r="C8" s="29" t="str">
        <x:v>湖南调峰辅助服务市场运行情况</x:v>
      </x:c>
      <x:c r="D8" s="29" t="str">
        <x:v>2025-11-14</x:v>
      </x:c>
      <x:c r="E8" s="29" t="str">
        <x:v>2026-09-11</x:v>
      </x:c>
      <x:c r="F8" s="29" t="str">
        <x:v>https://www.nea.gov.cn/20251114/4f1068f616e945d282655926b6bac54f/c.html</x:v>
      </x:c>
      <x:c r="G8" s="29" t="str">
        <x:v>政府/标准原文</x:v>
      </x:c>
      <x:c r="H8" s="29" t="str">
        <x:v>A</x:v>
      </x:c>
      <x:c r="I8" s="29" t="str">
        <x:v>见来源ID关联记录</x:v>
      </x:c>
      <x:c r="J8" s="29" t="str">
        <x:v>已核验链接</x:v>
      </x:c>
    </x:row>
    <x:row r="9" ht="21.600000381469727" hidden="0" customHeight="1">
      <x:c r="A9" s="30" t="str">
        <x:v>S08</x:v>
      </x:c>
      <x:c r="B9" s="31" t="str">
        <x:v>宁德时代</x:v>
      </x:c>
      <x:c r="C9" s="31" t="str">
        <x:v>宁德时代2025年年度报告</x:v>
      </x:c>
      <x:c r="D9" s="31" t="str">
        <x:v>2026-03-10</x:v>
      </x:c>
      <x:c r="E9" s="31" t="str">
        <x:v>2026-09-11</x:v>
      </x:c>
      <x:c r="F9" s="31" t="str">
        <x:v>https://static.cninfo.com.cn/finalpage/2026-03-10/1225002214.PDF</x:v>
      </x:c>
      <x:c r="G9" s="31" t="str">
        <x:v>企业法定披露</x:v>
      </x:c>
      <x:c r="H9" s="31" t="str">
        <x:v>B</x:v>
      </x:c>
      <x:c r="I9" s="31" t="str">
        <x:v>见来源ID关联记录</x:v>
      </x:c>
      <x:c r="J9" s="31" t="str">
        <x:v>已核验链接</x:v>
      </x:c>
    </x:row>
    <x:row r="10" ht="32.400001525878906" hidden="0" customHeight="1">
      <x:c r="A10" s="24" t="str">
        <x:v>S09</x:v>
      </x:c>
      <x:c r="B10" s="25" t="str">
        <x:v>国家发展改革委、国家能源局</x:v>
      </x:c>
      <x:c r="C10" s="25" t="str">
        <x:v>新型储能规模化建设专项行动方案</x:v>
      </x:c>
      <x:c r="D10" s="25" t="str">
        <x:v>2025-09-12</x:v>
      </x:c>
      <x:c r="E10" s="25" t="str">
        <x:v>2026-09-11</x:v>
      </x:c>
      <x:c r="F10" s="25" t="str">
        <x:v>https://zfxxgk.ndrc.gov.cn/web/iteminfo.jsp?id=20539</x:v>
      </x:c>
      <x:c r="G10" s="25" t="str">
        <x:v>政府/标准原文</x:v>
      </x:c>
      <x:c r="H10" s="25" t="str">
        <x:v>A</x:v>
      </x:c>
      <x:c r="I10" s="25" t="str">
        <x:v>见来源ID关联记录</x:v>
      </x:c>
      <x:c r="J10" s="25" t="str">
        <x:v>已核验链接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15" hidden="0" customHeight="1">
      <x:c r="A1" s="10" t="str">
        <x:v>日期</x:v>
      </x:c>
      <x:c r="B1" s="11" t="str">
        <x:v>模块</x:v>
      </x:c>
      <x:c r="C1" s="11" t="str">
        <x:v>变更类型</x:v>
      </x:c>
      <x:c r="D1" s="11" t="str">
        <x:v>变更说明</x:v>
      </x:c>
      <x:c r="E1" s="11" t="str">
        <x:v>原状态</x:v>
      </x:c>
      <x:c r="F1" s="11" t="str">
        <x:v>新状态</x:v>
      </x:c>
      <x:c r="G1" s="11" t="str">
        <x:v>责任人</x:v>
      </x:c>
      <x:c r="H1" s="12" t="str">
        <x:v>完成状态</x:v>
      </x:c>
    </x:row>
    <x:row r="2" ht="32.400001525878906" hidden="0" customHeight="1">
      <x:c r="A2" s="28" t="str">
        <x:v>2026-09-11</x:v>
      </x:c>
      <x:c r="B2" s="29" t="str">
        <x:v>全部</x:v>
      </x:c>
      <x:c r="C2" s="29" t="str">
        <x:v>建立</x:v>
      </x:c>
      <x:c r="D2" s="29" t="str">
        <x:v>完成新型储能非养老机器人泛化测试首版</x:v>
      </x:c>
      <x:c r="E2" s="29" t="str">
        <x:v>无</x:v>
      </x:c>
      <x:c r="F2" s="29" t="str">
        <x:v>17表基础数据库</x:v>
      </x:c>
      <x:c r="G2" s="29" t="str">
        <x:v>Codex</x:v>
      </x:c>
      <x:c r="H2" s="29" t="str">
        <x:v>完成</x:v>
      </x:c>
    </x:row>
    <x:row r="3" ht="43.20000076293945" hidden="0" customHeight="1">
      <x:c r="A3" s="32" t="str">
        <x:v>2026-09-11</x:v>
      </x:c>
      <x:c r="B3" s="33" t="str">
        <x:v>经济性</x:v>
      </x:c>
      <x:c r="C3" s="33" t="str">
        <x:v>边界修正</x:v>
      </x:c>
      <x:c r="D3" s="33" t="str">
        <x:v>未发现湖北项目完整CAPEX与结算证据，不输出IRR数字</x:v>
      </x:c>
      <x:c r="E3" s="33" t="str">
        <x:v>拟做情景数值</x:v>
      </x:c>
      <x:c r="F3" s="33" t="str">
        <x:v>改为可计算框架与缺口清单</x:v>
      </x:c>
      <x:c r="G3" s="33" t="str">
        <x:v>Codex</x:v>
      </x:c>
      <x:c r="H3" s="33" t="str">
        <x:v>完成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3" hidden="0" customWidth="1"/>
    <x:col min="6" max="6" width="15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15" hidden="0" customHeight="1">
      <x:c r="A1" s="10" t="str">
        <x:v>缺口ID</x:v>
      </x:c>
      <x:c r="B1" s="11" t="str">
        <x:v>模块</x:v>
      </x:c>
      <x:c r="C1" s="11" t="str">
        <x:v>缺口事项</x:v>
      </x:c>
      <x:c r="D1" s="11" t="str">
        <x:v>重要性</x:v>
      </x:c>
      <x:c r="E1" s="11" t="str">
        <x:v>对结论影响</x:v>
      </x:c>
      <x:c r="F1" s="11" t="str">
        <x:v>建议核实方式</x:v>
      </x:c>
      <x:c r="G1" s="11" t="str">
        <x:v>责任主体</x:v>
      </x:c>
      <x:c r="H1" s="11" t="str">
        <x:v>时点</x:v>
      </x:c>
      <x:c r="I1" s="12" t="str">
        <x:v>状态</x:v>
      </x:c>
    </x:row>
    <x:row r="2" ht="32.400001525878906" hidden="0" customHeight="1">
      <x:c r="A2" s="28" t="str">
        <x:v>G01</x:v>
      </x:c>
      <x:c r="B2" s="29" t="str">
        <x:v>主体资源</x:v>
      </x:c>
      <x:c r="C2" s="29" t="str">
        <x:v>假设主体的资本金、资产、场景与授权</x:v>
      </x:c>
      <x:c r="D2" s="29" t="str">
        <x:v>高</x:v>
      </x:c>
      <x:c r="E2" s="29" t="str">
        <x:v>决定工具和项目是否可执行</x:v>
      </x:c>
      <x:c r="F2" s="29" t="str">
        <x:v>内部访谈+权属/授权文件</x:v>
      </x:c>
      <x:c r="G2" s="29" t="str">
        <x:v>实施主体</x:v>
      </x:c>
      <x:c r="H2" s="29" t="str">
        <x:v>启动后5个工作日</x:v>
      </x:c>
      <x:c r="I2" s="29" t="str">
        <x:v>待核</x:v>
      </x:c>
    </x:row>
    <x:row r="3" ht="32.400001525878906" hidden="0" customHeight="1">
      <x:c r="A3" s="30" t="str">
        <x:v>G02</x:v>
      </x:c>
      <x:c r="B3" s="31" t="str">
        <x:v>项目经济性</x:v>
      </x:c>
      <x:c r="C3" s="31" t="str">
        <x:v>湖北独立储能收入规则、容量租赁与现货结算</x:v>
      </x:c>
      <x:c r="D3" s="31" t="str">
        <x:v>高</x:v>
      </x:c>
      <x:c r="E3" s="31" t="str">
        <x:v>决定IRR和回收期</x:v>
      </x:c>
      <x:c r="F3" s="31" t="str">
        <x:v>规则原文+合同+结算单</x:v>
      </x:c>
      <x:c r="G3" s="31" t="str">
        <x:v>交易/项目团队</x:v>
      </x:c>
      <x:c r="H3" s="31" t="str">
        <x:v>投前</x:v>
      </x:c>
      <x:c r="I3" s="31" t="str">
        <x:v>待核</x:v>
      </x:c>
    </x:row>
    <x:row r="4" ht="32.400001525878906" hidden="0" customHeight="1">
      <x:c r="A4" s="28" t="str">
        <x:v>G03</x:v>
      </x:c>
      <x:c r="B4" s="29" t="str">
        <x:v>项目成本</x:v>
      </x:c>
      <x:c r="C4" s="29" t="str">
        <x:v>不同路线单位CAPEX、运维、衰减、残值</x:v>
      </x:c>
      <x:c r="D4" s="29" t="str">
        <x:v>高</x:v>
      </x:c>
      <x:c r="E4" s="29" t="str">
        <x:v>决定路线优先级</x:v>
      </x:c>
      <x:c r="F4" s="29" t="str">
        <x:v>可研+报价+第三方工程核验</x:v>
      </x:c>
      <x:c r="G4" s="29" t="str">
        <x:v>项目团队</x:v>
      </x:c>
      <x:c r="H4" s="29" t="str">
        <x:v>投前</x:v>
      </x:c>
      <x:c r="I4" s="29" t="str">
        <x:v>待核</x:v>
      </x:c>
    </x:row>
    <x:row r="5" ht="43.20000076293945" hidden="0" customHeight="1">
      <x:c r="A5" s="30" t="str">
        <x:v>G04</x:v>
      </x:c>
      <x:c r="B5" s="31" t="str">
        <x:v>企业池</x:v>
      </x:c>
      <x:c r="C5" s="31" t="str">
        <x:v>湖北本地系统、PCS/EMS、安全与运营企业全量名单</x:v>
      </x:c>
      <x:c r="D5" s="31" t="str">
        <x:v>中</x:v>
      </x:c>
      <x:c r="E5" s="31" t="str">
        <x:v>影响招引和投资对象池</x:v>
      </x:c>
      <x:c r="F5" s="31" t="str">
        <x:v>工商/招投标/园区/企业官网交叉检索</x:v>
      </x:c>
      <x:c r="G5" s="31" t="str">
        <x:v>研究团队</x:v>
      </x:c>
      <x:c r="H5" s="31" t="str">
        <x:v>下一轮</x:v>
      </x:c>
      <x:c r="I5" s="31" t="str">
        <x:v>待核</x:v>
      </x:c>
    </x:row>
    <x:row r="6" ht="32.400001525878906" hidden="0" customHeight="1">
      <x:c r="A6" s="24" t="str">
        <x:v>G05</x:v>
      </x:c>
      <x:c r="B6" s="25" t="str">
        <x:v>运行数据</x:v>
      </x:c>
      <x:c r="C6" s="25" t="str">
        <x:v>宜昌液流项目效率、可用率、调用与结算</x:v>
      </x:c>
      <x:c r="D6" s="25" t="str">
        <x:v>高</x:v>
      </x:c>
      <x:c r="E6" s="25" t="str">
        <x:v>决定长时路线项目级判断</x:v>
      </x:c>
      <x:c r="F6" s="25" t="str">
        <x:v>运营报表+调度记录+现场访谈</x:v>
      </x:c>
      <x:c r="G6" s="25" t="str">
        <x:v>项目业主</x:v>
      </x:c>
      <x:c r="H6" s="25" t="str">
        <x:v>并网满12个月后</x:v>
      </x:c>
      <x:c r="I6" s="25" t="str">
        <x:v>待核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1" hidden="0" customWidth="1"/>
    <x:col min="7" max="7" width="15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15" hidden="0" customHeight="1">
      <x:c r="A1" s="10" t="str">
        <x:v>查询ID</x:v>
      </x:c>
      <x:c r="B1" s="11" t="str">
        <x:v>轮次</x:v>
      </x:c>
      <x:c r="C1" s="11" t="str">
        <x:v>主题</x:v>
      </x:c>
      <x:c r="D1" s="11" t="str">
        <x:v>检索式或动作</x:v>
      </x:c>
      <x:c r="E1" s="11" t="str">
        <x:v>优先来源</x:v>
      </x:c>
      <x:c r="F1" s="11" t="str">
        <x:v>主要结果</x:v>
      </x:c>
      <x:c r="G1" s="11" t="str">
        <x:v>新增有效记录</x:v>
      </x:c>
      <x:c r="H1" s="11" t="str">
        <x:v>重复程度</x:v>
      </x:c>
      <x:c r="I1" s="11" t="str">
        <x:v>证据质量</x:v>
      </x:c>
      <x:c r="J1" s="11" t="str">
        <x:v>缺口</x:v>
      </x:c>
      <x:c r="K1" s="11" t="str">
        <x:v>下一步</x:v>
      </x:c>
      <x:c r="L1" s="12" t="str">
        <x:v>饱和判断</x:v>
      </x:c>
    </x:row>
    <x:row r="2" ht="32.400001525878906" hidden="0" customHeight="1">
      <x:c r="A2" s="28" t="str">
        <x:v>Q01</x:v>
      </x:c>
      <x:c r="B2" s="29" t="n">
        <x:v>1</x:v>
      </x:c>
      <x:c r="C2" s="29" t="str">
        <x:v>国家规模与结构</x:v>
      </x:c>
      <x:c r="D2" s="29" t="str">
        <x:v>国家能源局 2025 新型储能 装机 利用小时</x:v>
      </x:c>
      <x:c r="E2" s="29" t="str">
        <x:v>国家能源局</x:v>
      </x:c>
      <x:c r="F2" s="29" t="str">
        <x:v>获得装机、技术、场景、区域和利用数据</x:v>
      </x:c>
      <x:c r="G2" s="29" t="n">
        <x:v>6</x:v>
      </x:c>
      <x:c r="H2" s="29" t="str">
        <x:v>中</x:v>
      </x:c>
      <x:c r="I2" s="29" t="str">
        <x:v>A</x:v>
      </x:c>
      <x:c r="J2" s="29" t="str">
        <x:v>省级拆分不足</x:v>
      </x:c>
      <x:c r="K2" s="29" t="str">
        <x:v>补省级项目与机制</x:v>
      </x:c>
      <x:c r="L2" s="29" t="str">
        <x:v>国家层面基本饱和</x:v>
      </x:c>
    </x:row>
    <x:row r="3" ht="32.400001525878906" hidden="0" customHeight="1">
      <x:c r="A3" s="30" t="str">
        <x:v>Q02</x:v>
      </x:c>
      <x:c r="B3" s="31" t="n">
        <x:v>1</x:v>
      </x:c>
      <x:c r="C3" s="31" t="str">
        <x:v>产业政策与安全</x:v>
      </x:c>
      <x:c r="D3" s="31" t="str">
        <x:v>新型储能 制造业 行动方案 安全 标准</x:v>
      </x:c>
      <x:c r="E3" s="31" t="str">
        <x:v>工信部/市场监管总局/能源局</x:v>
      </x:c>
      <x:c r="F3" s="31" t="str">
        <x:v>获得产业政策、安全标准和监管要求</x:v>
      </x:c>
      <x:c r="G3" s="31" t="n">
        <x:v>5</x:v>
      </x:c>
      <x:c r="H3" s="31" t="str">
        <x:v>中</x:v>
      </x:c>
      <x:c r="I3" s="31" t="str">
        <x:v>A</x:v>
      </x:c>
      <x:c r="J3" s="31" t="str">
        <x:v>企业合规实证不足</x:v>
      </x:c>
      <x:c r="K3" s="31" t="str">
        <x:v>进入企业和项目尽调</x:v>
      </x:c>
      <x:c r="L3" s="31" t="str">
        <x:v>政策层面基本饱和</x:v>
      </x:c>
    </x:row>
    <x:row r="4" ht="32.400001525878906" hidden="0" customHeight="1">
      <x:c r="A4" s="28" t="str">
        <x:v>Q03</x:v>
      </x:c>
      <x:c r="B4" s="29" t="n">
        <x:v>2</x:v>
      </x:c>
      <x:c r="C4" s="29" t="str">
        <x:v>湖北项目</x:v>
      </x:c>
      <x:c r="D4" s="29" t="str">
        <x:v>湖北 新型储能 项目 并网 液流</x:v>
      </x:c>
      <x:c r="E4" s="29" t="str">
        <x:v>湖北省政府/经信厅</x:v>
      </x:c>
      <x:c r="F4" s="29" t="str">
        <x:v>获得宜昌50MW/4小时项目与20MW并网事实</x:v>
      </x:c>
      <x:c r="G4" s="29" t="n">
        <x:v>1</x:v>
      </x:c>
      <x:c r="H4" s="29" t="str">
        <x:v>低</x:v>
      </x:c>
      <x:c r="I4" s="29" t="str">
        <x:v>A</x:v>
      </x:c>
      <x:c r="J4" s="29" t="str">
        <x:v>财务与运行数据缺失</x:v>
      </x:c>
      <x:c r="K4" s="29" t="str">
        <x:v>索取项目资料</x:v>
      </x:c>
      <x:c r="L4" s="29" t="str">
        <x:v>未饱和</x:v>
      </x:c>
    </x:row>
    <x:row r="5" ht="32.400001525878906" hidden="0" customHeight="1">
      <x:c r="A5" s="32" t="str">
        <x:v>Q04</x:v>
      </x:c>
      <x:c r="B5" s="33" t="n">
        <x:v>2</x:v>
      </x:c>
      <x:c r="C5" s="33" t="str">
        <x:v>收益机制外部参照</x:v>
      </x:c>
      <x:c r="D5" s="33" t="str">
        <x:v>新型储能 调峰 收益 官方</x:v>
      </x:c>
      <x:c r="E5" s="33" t="str">
        <x:v>国家能源局派出机构</x:v>
      </x:c>
      <x:c r="F5" s="33" t="str">
        <x:v>获得湖南历史调峰度电收益0.187元/千瓦时</x:v>
      </x:c>
      <x:c r="G5" s="33" t="n">
        <x:v>1</x:v>
      </x:c>
      <x:c r="H5" s="33" t="str">
        <x:v>低</x:v>
      </x:c>
      <x:c r="I5" s="33" t="str">
        <x:v>A</x:v>
      </x:c>
      <x:c r="J5" s="33" t="str">
        <x:v>不可直接迁移湖北</x:v>
      </x:c>
      <x:c r="K5" s="33" t="str">
        <x:v>检索湖北规则与结算案例</x:v>
      </x:c>
      <x:c r="L5" s="33" t="str">
        <x:v>未饱和</x:v>
      </x:c>
    </x:row>
  </x:sheetData>
  <x:pageMargins left="0.7" right="0.7" top="0.75" bottom="0.75" header="0.3" footer="0.3"/>
</x:worksheet>
</file>