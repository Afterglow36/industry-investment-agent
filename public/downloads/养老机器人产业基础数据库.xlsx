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040" firstSheet="9" activeTab="14"/>
  </bookViews>
  <sheets>
    <sheet name="使用说明" sheetId="1" r:id="rId1"/>
    <sheet name="产业链环节" sheetId="2" r:id="rId2"/>
    <sheet name="重点产品" sheetId="3" r:id="rId3"/>
    <sheet name="市场规模及盈利能力" sheetId="4" r:id="rId4"/>
    <sheet name="核心技术" sheetId="5" r:id="rId5"/>
    <sheet name="区域及产业集群" sheetId="6" r:id="rId6"/>
    <sheet name="政策清单" sheetId="7" r:id="rId7"/>
    <sheet name="重点企业" sheetId="8" r:id="rId8"/>
    <sheet name="重点项目及融资事件" sheetId="9" r:id="rId9"/>
    <sheet name="产业问题" sheetId="10" r:id="rId10"/>
    <sheet name="武汉城投公开资源" sheetId="11" r:id="rId11"/>
    <sheet name="企业及项目综合评分" sheetId="12" r:id="rId12"/>
    <sheet name="场景ROI测算" sheetId="13" r:id="rId13"/>
    <sheet name="数据来源索引" sheetId="14" r:id="rId14"/>
    <sheet name="更新变更日志" sheetId="16" r:id="rId15"/>
    <sheet name="数据缺口及待核实事项" sheetId="17" r:id="rId16"/>
    <sheet name="检索过程及饱和度记录" sheetId="18"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<sst xmlns="http://schemas.openxmlformats.org/spreadsheetml/2006/main" count="9314" uniqueCount="3837">
  <si>
    <t>养老机器人产业四图五清单｜增强基础数据库</t>
  </si>
  <si>
    <t>面向武汉城投及其公开可协同资源｜版本：2026-07-27｜仅使用公开信息和用户提供资料建立研究底稿</t>
  </si>
  <si>
    <t>实施主体</t>
  </si>
  <si>
    <t>武汉城投及其公开可协同资源</t>
  </si>
  <si>
    <t>覆盖结果（原库 → 增强库）</t>
  </si>
  <si>
    <t>研究范围</t>
  </si>
  <si>
    <t>武汉为核心，武汉都市圈及湖北周边协同承载，外部集聚区导入</t>
  </si>
  <si>
    <t>模块</t>
  </si>
  <si>
    <t>原库</t>
  </si>
  <si>
    <t>增强库</t>
  </si>
  <si>
    <t>目标下限</t>
  </si>
  <si>
    <t>结论</t>
  </si>
  <si>
    <t>数据原则</t>
  </si>
  <si>
    <t>事实、预测、情景估算分开；无公开证据不补全</t>
  </si>
  <si>
    <t>产业链环节</t>
  </si>
  <si>
    <t>达标</t>
  </si>
  <si>
    <t>原库保护</t>
  </si>
  <si>
    <t>原数据库未覆盖；S01—S46和原记录全部保留</t>
  </si>
  <si>
    <t>重点产品</t>
  </si>
  <si>
    <t>新增来源</t>
  </si>
  <si>
    <t>S47起连续编号；完整链接和可信度见“数据来源索引”</t>
  </si>
  <si>
    <t>市场指标</t>
  </si>
  <si>
    <t>评分原则</t>
  </si>
  <si>
    <t>1—5分；风险维度5分代表风险较可控；不构成投资承诺</t>
  </si>
  <si>
    <t>核心技术</t>
  </si>
  <si>
    <t>ROI原则</t>
  </si>
  <si>
    <t>公式驱动、保守/基准/乐观三情景；不代表机构实际成果</t>
  </si>
  <si>
    <t>区域/集群</t>
  </si>
  <si>
    <t>待核规则</t>
  </si>
  <si>
    <t>凡未公开、单一企业口径、模型假设或内部资源均明确标注</t>
  </si>
  <si>
    <t>政策</t>
  </si>
  <si>
    <t>企业</t>
  </si>
  <si>
    <t>项目/事件</t>
  </si>
  <si>
    <t>产业问题</t>
  </si>
  <si>
    <t>本轮形成的核心判断</t>
  </si>
  <si>
    <t>公开资源</t>
  </si>
  <si>
    <t>01</t>
  </si>
  <si>
    <t>近期优先布局康复机器人与功能明确的机构护理机器人；陪伴机器人以运营数据驱动的小规模试点为主，通用人形养老长期储备。</t>
  </si>
  <si>
    <t>02</t>
  </si>
  <si>
    <t>武汉的优势是“高校/医疗研发＋人形机器人产业链＋康养场景＋国有资本”，不宜复制沿海整机集群，应建立验证—首购—落地—复制平台。</t>
  </si>
  <si>
    <t>03</t>
  </si>
  <si>
    <t>国家32项试点提供了最可靠的企业与项目观察池，但入选只证明政策认可和试点资格，不证明收入、量产或盈利。</t>
  </si>
  <si>
    <t>04</t>
  </si>
  <si>
    <t>武汉/湖北近期最值得推进的是迪发尔护理床式机器人、本地外骨骼成果、科峰/华威科等部件，以及傅利叶/程天/作为等外部企业场景导入。</t>
  </si>
  <si>
    <t>05</t>
  </si>
  <si>
    <t>所有投资决策必须把注册证、真实订单、使用率、售后成本、回款和安全事故数据放在融资规模与技术演示之前。</t>
  </si>
  <si>
    <t>可直接用于后续PPT的数据模块</t>
  </si>
  <si>
    <t>产业判断</t>
  </si>
  <si>
    <t>人口/长护险/IFR样本/采购价格</t>
  </si>
  <si>
    <t>市场规模及盈利能力</t>
  </si>
  <si>
    <t>产业链图</t>
  </si>
  <si>
    <t>25+环节、代表主体、壁垒与进入方式</t>
  </si>
  <si>
    <t>产品优先级</t>
  </si>
  <si>
    <t>三赛道评分、40+产品与商业模式</t>
  </si>
  <si>
    <t>重点产品；企业及项目综合评分</t>
  </si>
  <si>
    <t>技术路线</t>
  </si>
  <si>
    <t>TRL、瓶颈、武汉布局动作</t>
  </si>
  <si>
    <t>区域布局</t>
  </si>
  <si>
    <t>武汉—都市圈—外部导入区功能分工</t>
  </si>
  <si>
    <t>区域及产业集群</t>
  </si>
  <si>
    <t>政策抓手</t>
  </si>
  <si>
    <t>国家/湖北/武汉40+政策与申报机会</t>
  </si>
  <si>
    <t>政策清单</t>
  </si>
  <si>
    <t>投资标的</t>
  </si>
  <si>
    <t>60+企业、分级、合作方式与尽调事项</t>
  </si>
  <si>
    <t>重点企业；企业及项目综合评分</t>
  </si>
  <si>
    <t>项目机会</t>
  </si>
  <si>
    <t>32项国家试点+武汉项目+采购案例</t>
  </si>
  <si>
    <t>重点项目及融资事件</t>
  </si>
  <si>
    <t>武汉城投路径</t>
  </si>
  <si>
    <t>公开资源、场景、基金和待核事项</t>
  </si>
  <si>
    <t>武汉城投公开资源</t>
  </si>
  <si>
    <t>经济性</t>
  </si>
  <si>
    <t>4模型×3情景、回收期与敏感性</t>
  </si>
  <si>
    <t>场景ROI测算</t>
  </si>
  <si>
    <t>颜色与使用规则：浅黄底蓝字=可修改假设；绿色=达标/高优先；红色=风险/待核；来源完整链接集中存放，工作表仅显示来源ID和发布主体。</t>
  </si>
  <si>
    <t>养老机器人产业链环节增强数据库</t>
  </si>
  <si>
    <t>新增执行器、触觉、脑机接口、VLA、RaaS、注册与维保等环节；保留原库全部记录和来源ID。</t>
  </si>
  <si>
    <t>记录ID</t>
  </si>
  <si>
    <t>层级</t>
  </si>
  <si>
    <t>环节</t>
  </si>
  <si>
    <t>主要输出</t>
  </si>
  <si>
    <t>代表主体</t>
  </si>
  <si>
    <t>商业成熟度</t>
  </si>
  <si>
    <t>投资壁垒</t>
  </si>
  <si>
    <t>核心卡点</t>
  </si>
  <si>
    <t>成本/性能影响</t>
  </si>
  <si>
    <t>建议进入方式</t>
  </si>
  <si>
    <t>变更类型</t>
  </si>
  <si>
    <t>数据属性</t>
  </si>
  <si>
    <t>来源ID</t>
  </si>
  <si>
    <t>发布主体</t>
  </si>
  <si>
    <t>证据层级</t>
  </si>
  <si>
    <t>需复核</t>
  </si>
  <si>
    <t>更新时间</t>
  </si>
  <si>
    <t>CL001</t>
  </si>
  <si>
    <t>上游基础层</t>
  </si>
  <si>
    <t>AI芯片及计算平台</t>
  </si>
  <si>
    <t>端侧推理、算力模组、边缘计算</t>
  </si>
  <si>
    <t>英伟达、华为昇腾、地平线</t>
  </si>
  <si>
    <t>中高</t>
  </si>
  <si>
    <t>高</t>
  </si>
  <si>
    <t>芯片生态和适配成本高</t>
  </si>
  <si>
    <t>算力/能耗/响应</t>
  </si>
  <si>
    <t>基金或生态合作</t>
  </si>
  <si>
    <t>继承原库</t>
  </si>
  <si>
    <t>事实+研究判断</t>
  </si>
  <si>
    <t>S14</t>
  </si>
  <si>
    <t>武汉市人民政府</t>
  </si>
  <si>
    <t>一手/官方为主</t>
  </si>
  <si>
    <t>否</t>
  </si>
  <si>
    <t>2026-07-27</t>
  </si>
  <si>
    <t>CL002</t>
  </si>
  <si>
    <t>精密减速器</t>
  </si>
  <si>
    <t>谐波/行星减速器、关节模组</t>
  </si>
  <si>
    <t>绿的谐波、科峰传动</t>
  </si>
  <si>
    <t>寿命、一致性、规模成本</t>
  </si>
  <si>
    <t>关节精度与成本</t>
  </si>
  <si>
    <t>股权投资/补链落地</t>
  </si>
  <si>
    <t>S21</t>
  </si>
  <si>
    <t>科峰传动</t>
  </si>
  <si>
    <t>企业披露/研究判断</t>
  </si>
  <si>
    <t>CL003</t>
  </si>
  <si>
    <t>伺服与控制器</t>
  </si>
  <si>
    <t>伺服电机、驱动器、运动控制</t>
  </si>
  <si>
    <t>汇川技术、埃斯顿、华中数控</t>
  </si>
  <si>
    <t>小型轻量与柔顺控制</t>
  </si>
  <si>
    <t>运动性能与可靠性</t>
  </si>
  <si>
    <t>成熟企业合作/基金配置</t>
  </si>
  <si>
    <t>S28;S29</t>
  </si>
  <si>
    <t>汇川技术、埃斯顿</t>
  </si>
  <si>
    <t>CL004</t>
  </si>
  <si>
    <t>丝杠与执行器</t>
  </si>
  <si>
    <t>滚珠/行星滚柱丝杠、电动缸</t>
  </si>
  <si>
    <t>科峰传动等</t>
  </si>
  <si>
    <t>中</t>
  </si>
  <si>
    <t>高负载轻量化与一致性</t>
  </si>
  <si>
    <t>线性执行效率</t>
  </si>
  <si>
    <t>招引+联合验证</t>
  </si>
  <si>
    <t>CL005</t>
  </si>
  <si>
    <t>3D视觉/力触觉</t>
  </si>
  <si>
    <t>深度相机、力矩/触觉传感</t>
  </si>
  <si>
    <t>奥比中光、柯力传感等</t>
  </si>
  <si>
    <t>遮挡、弱光、软体接触安全</t>
  </si>
  <si>
    <t>感知与安全边界</t>
  </si>
  <si>
    <t>股权/采购验证</t>
  </si>
  <si>
    <t>S27</t>
  </si>
  <si>
    <t>奥比中光</t>
  </si>
  <si>
    <t>CL006</t>
  </si>
  <si>
    <t>生命体征/环境传感</t>
  </si>
  <si>
    <t>毫米波、睡眠、跌倒、定位</t>
  </si>
  <si>
    <t>乐聆康养等</t>
  </si>
  <si>
    <t>误报漏报、数据合规</t>
  </si>
  <si>
    <t>监测效果</t>
  </si>
  <si>
    <t>场景采购+数据接口</t>
  </si>
  <si>
    <t>S02</t>
  </si>
  <si>
    <t>工业和信息化部等</t>
  </si>
  <si>
    <t>CL007</t>
  </si>
  <si>
    <t>中游技术层</t>
  </si>
  <si>
    <t>大模型与多模态交互</t>
  </si>
  <si>
    <t>语言、视觉、情感、意图识别</t>
  </si>
  <si>
    <t>科大讯飞、百度、阿里等</t>
  </si>
  <si>
    <t>老年方言、幻觉、隐私与端云协同</t>
  </si>
  <si>
    <t>陪伴/运营入口</t>
  </si>
  <si>
    <t>联合研发/平台接入</t>
  </si>
  <si>
    <t>CL008</t>
  </si>
  <si>
    <t>导航与群控</t>
  </si>
  <si>
    <t>SLAM、避障、调度、远程运维</t>
  </si>
  <si>
    <t>擎朗、普渡、仙工智能</t>
  </si>
  <si>
    <t>复杂机构环境与电梯/门禁接口</t>
  </si>
  <si>
    <t>运营效率</t>
  </si>
  <si>
    <t>采购/合资运营</t>
  </si>
  <si>
    <t>S38;S39</t>
  </si>
  <si>
    <t>普渡机器人、擎朗智能</t>
  </si>
  <si>
    <t>CL009</t>
  </si>
  <si>
    <t>柔顺与安全控制</t>
  </si>
  <si>
    <t>力控、阻抗控制、人机共融</t>
  </si>
  <si>
    <t>傅利叶、优必选、科研团队</t>
  </si>
  <si>
    <t>人身安全、标准、临床证据</t>
  </si>
  <si>
    <t>决定护理可用性</t>
  </si>
  <si>
    <t>联合实验室/中期投资</t>
  </si>
  <si>
    <t>S19;S22;S26</t>
  </si>
  <si>
    <t>武汉理工大学、傅利叶智能、优必选</t>
  </si>
  <si>
    <t>CL010</t>
  </si>
  <si>
    <t>中游产品层</t>
  </si>
  <si>
    <t>康复机器人</t>
  </si>
  <si>
    <t>上肢、下肢、步态、外骨骼、认知康复</t>
  </si>
  <si>
    <t>傅利叶、程天、翔宇、邦邦</t>
  </si>
  <si>
    <t>注册、医院预算、临床工作流</t>
  </si>
  <si>
    <t>支付闭环较清晰</t>
  </si>
  <si>
    <t>少数股权+区域中心</t>
  </si>
  <si>
    <t>S22;S23;S24;S25</t>
  </si>
  <si>
    <t>傅利叶智能、程天科技、邦邦机器人、翔宇医疗</t>
  </si>
  <si>
    <t>CL011</t>
  </si>
  <si>
    <t>护理机器人</t>
  </si>
  <si>
    <t>移位、排泄、翻身、洗浴、喂食</t>
  </si>
  <si>
    <t>呵康、优必选及创业企业</t>
  </si>
  <si>
    <t>中低</t>
  </si>
  <si>
    <t>复杂接触、安全责任、价格</t>
  </si>
  <si>
    <t>直击刚需但落地难</t>
  </si>
  <si>
    <t>场景试点+里程碑投资</t>
  </si>
  <si>
    <t>S26;S41</t>
  </si>
  <si>
    <t>优必选、呵康科技</t>
  </si>
  <si>
    <t>是</t>
  </si>
  <si>
    <t>CL012</t>
  </si>
  <si>
    <t>机构运营机器人</t>
  </si>
  <si>
    <t>配送、清洁、巡检、夜间监测</t>
  </si>
  <si>
    <t>擎朗、普渡、光谷东智</t>
  </si>
  <si>
    <t>与养老流程/楼宇系统集成</t>
  </si>
  <si>
    <t>提效可量化</t>
  </si>
  <si>
    <t>采购+运营服务+招引</t>
  </si>
  <si>
    <t>S31;S38;S39</t>
  </si>
  <si>
    <t>武汉市投资促进局、普渡机器人、擎朗智能</t>
  </si>
  <si>
    <t>CL013</t>
  </si>
  <si>
    <t>陪伴与认知机器人</t>
  </si>
  <si>
    <t>语音/视频、认知训练、远程看护</t>
  </si>
  <si>
    <t>优必选、顶智智造、妙伴等</t>
  </si>
  <si>
    <t>付费弱、同质化、隐私/伦理</t>
  </si>
  <si>
    <t>入口价值高于硬件毛利</t>
  </si>
  <si>
    <t>小额试点/持续跟踪</t>
  </si>
  <si>
    <t>S26;S40</t>
  </si>
  <si>
    <t>优必选、顶智智造</t>
  </si>
  <si>
    <t>CL014</t>
  </si>
  <si>
    <t>中游平台层</t>
  </si>
  <si>
    <t>养老服务与健康平台</t>
  </si>
  <si>
    <t>设备接入、工单、健康档案、支付运营</t>
  </si>
  <si>
    <t>安养链、光谷东智等</t>
  </si>
  <si>
    <t>数据标准、系统孤岛、持续运营</t>
  </si>
  <si>
    <t>形成网络效应</t>
  </si>
  <si>
    <t>平台合作+标准接口</t>
  </si>
  <si>
    <t>S05;S07;S31</t>
  </si>
  <si>
    <t>武汉市财政局、武汉市民政局、武汉市投资促进局</t>
  </si>
  <si>
    <t>CL015</t>
  </si>
  <si>
    <t>下游场景层</t>
  </si>
  <si>
    <t>医院/康复中心</t>
  </si>
  <si>
    <t>临床康复、评估、训练、租赁服务</t>
  </si>
  <si>
    <t>医疗机构、康复中心</t>
  </si>
  <si>
    <t>预算、注册、临床证据</t>
  </si>
  <si>
    <t>高客单与示范效应</t>
  </si>
  <si>
    <t>联合示范中心</t>
  </si>
  <si>
    <t>S36</t>
  </si>
  <si>
    <t>国家卫生健康委</t>
  </si>
  <si>
    <t>CL016</t>
  </si>
  <si>
    <t>养老机构</t>
  </si>
  <si>
    <t>护理、巡检、配送、康复、陪伴</t>
  </si>
  <si>
    <t>养老机构、医养结合体</t>
  </si>
  <si>
    <t>人员培训、流程重构、ROI</t>
  </si>
  <si>
    <t>可形成批量复制</t>
  </si>
  <si>
    <t>场景开放+集采</t>
  </si>
  <si>
    <t>S07;S08</t>
  </si>
  <si>
    <t>武汉市民政局、武汉市人民政府</t>
  </si>
  <si>
    <t>CL017</t>
  </si>
  <si>
    <t>社区/居家</t>
  </si>
  <si>
    <t>助行、监测、陪伴、远程康复</t>
  </si>
  <si>
    <t>街道、社区、家庭</t>
  </si>
  <si>
    <t>极高</t>
  </si>
  <si>
    <t>支付分散、售后、适老化</t>
  </si>
  <si>
    <t>潜在人群最大</t>
  </si>
  <si>
    <t>租赁/服务包试点</t>
  </si>
  <si>
    <t>CL018</t>
  </si>
  <si>
    <t>下游服务层</t>
  </si>
  <si>
    <t>销售/租赁/按次/保险</t>
  </si>
  <si>
    <t>设备销售、融资租赁、按效果/按次付费</t>
  </si>
  <si>
    <t>厂商、运营商、保险与政府</t>
  </si>
  <si>
    <t>支付与责任边界</t>
  </si>
  <si>
    <t>决定渗透速度</t>
  </si>
  <si>
    <t>产业运营平台</t>
  </si>
  <si>
    <t>S01;S02</t>
  </si>
  <si>
    <t>国务院办公厅、工业和信息化部等</t>
  </si>
  <si>
    <t>CL019</t>
  </si>
  <si>
    <t>无框力矩电机/空心杯电机</t>
  </si>
  <si>
    <t>高功率密度、低噪声执行部件</t>
  </si>
  <si>
    <t>鸣志电器、万至达、元生创新</t>
  </si>
  <si>
    <t>热管理、寿命与批量一致性</t>
  </si>
  <si>
    <t>影响关节重量、噪声和续航</t>
  </si>
  <si>
    <t>联合验证/供应链投资</t>
  </si>
  <si>
    <t>新增</t>
  </si>
  <si>
    <t>S56;S81</t>
  </si>
  <si>
    <t>湖北省人民政府、湖北省科学技术厅</t>
  </si>
  <si>
    <t>CL020</t>
  </si>
  <si>
    <t>线性执行器与一体化关节</t>
  </si>
  <si>
    <t>推杆、丝杠、电机、编码器及控制集成</t>
  </si>
  <si>
    <t>科峰传动、格蓝若、光谷华汇</t>
  </si>
  <si>
    <t>人体接触场景的冗余制动和可靠性</t>
  </si>
  <si>
    <t>影响移位、外骨骼和人形机器人的安全</t>
  </si>
  <si>
    <t>产品验证/扩产投资</t>
  </si>
  <si>
    <t>S21;S57;S81</t>
  </si>
  <si>
    <t>科峰传动、武汉市科技创新局、湖北省科学技术厅</t>
  </si>
  <si>
    <t>CL021</t>
  </si>
  <si>
    <t>六维力与柔性触觉</t>
  </si>
  <si>
    <t>接触力、足底力、电子皮肤与柔性传感</t>
  </si>
  <si>
    <t>坤维科技、华威科、柯力传感</t>
  </si>
  <si>
    <t>漂移、标定、耐久和成本</t>
  </si>
  <si>
    <t>决定贴身护理的限力和防夹能力</t>
  </si>
  <si>
    <t>技术合作/成果转化</t>
  </si>
  <si>
    <t>S27;S81</t>
  </si>
  <si>
    <t>奥比中光、湖北省科学技术厅</t>
  </si>
  <si>
    <t>CL022</t>
  </si>
  <si>
    <t>脑机接口与肌电意图识别</t>
  </si>
  <si>
    <t>EEG/EMG采集、意图解码和闭环训练</t>
  </si>
  <si>
    <t>武汉高校团队、司羿智能、伟思医疗</t>
  </si>
  <si>
    <t>临床有效性、个体差异和注册路径</t>
  </si>
  <si>
    <t>改善主动康复参与度</t>
  </si>
  <si>
    <t>联合研发/临床验证</t>
  </si>
  <si>
    <t>S17;S67;S88</t>
  </si>
  <si>
    <t>湖北省经信厅、司羿智能、伟思医疗</t>
  </si>
  <si>
    <t>CL023</t>
  </si>
  <si>
    <t>具身智能VLA与任务规划</t>
  </si>
  <si>
    <t>视觉—语言—动作模型、技能库与遥操作数据</t>
  </si>
  <si>
    <t>湖北人形机器人创新中心、格蓝若、优必选</t>
  </si>
  <si>
    <t>早期</t>
  </si>
  <si>
    <t>泛化、数据闭环和安全可解释性</t>
  </si>
  <si>
    <t>影响通用任务扩展速度</t>
  </si>
  <si>
    <t>平台合作/长期储备</t>
  </si>
  <si>
    <t>S57;S58;S91</t>
  </si>
  <si>
    <t>武汉市科技创新局、武汉市经济和信息化局、优必选</t>
  </si>
  <si>
    <t>CL024</t>
  </si>
  <si>
    <t>适老化人机交互与方言语音</t>
  </si>
  <si>
    <t>远场语音、方言、认知友好交互和主动提醒</t>
  </si>
  <si>
    <t>科大讯飞、优必选、森丽康</t>
  </si>
  <si>
    <t>误唤醒、幻觉、打扰和数字鸿沟</t>
  </si>
  <si>
    <t>影响老人接受度与长期活跃</t>
  </si>
  <si>
    <t>场景验证/采购合作</t>
  </si>
  <si>
    <t>S68;S69;S48</t>
  </si>
  <si>
    <t>优必选、工业和信息化部、民政部</t>
  </si>
  <si>
    <t>CL025</t>
  </si>
  <si>
    <t>机器人设备运营与RaaS平台</t>
  </si>
  <si>
    <t>设备调度、远程运维、按床/月计费和服务记录</t>
  </si>
  <si>
    <t>普渡、擎朗、武汉安养链</t>
  </si>
  <si>
    <t>设备利用率、售后半径和回款</t>
  </si>
  <si>
    <t>由一次性销售转向持续收入</t>
  </si>
  <si>
    <t>联合运营/融资租赁</t>
  </si>
  <si>
    <t>S06;S38;S39;S49</t>
  </si>
  <si>
    <t>武汉城投集团、普渡机器人、擎朗智能、国际机器人联合会</t>
  </si>
  <si>
    <t>CL026</t>
  </si>
  <si>
    <t>医疗器械注册与临床评价</t>
  </si>
  <si>
    <t>分类界定、注册检验、临床评价和上市后监管</t>
  </si>
  <si>
    <t>注册检验机构、医院、整机企业</t>
  </si>
  <si>
    <t>产品边界变化和真实世界证据</t>
  </si>
  <si>
    <t>决定医疗康复产品上市时间</t>
  </si>
  <si>
    <t>公共服务平台/联合验证</t>
  </si>
  <si>
    <t>S53;S54</t>
  </si>
  <si>
    <t>国家药品监督管理局</t>
  </si>
  <si>
    <t>CL027</t>
  </si>
  <si>
    <t>清洁消毒、耗材与维保</t>
  </si>
  <si>
    <t>污物处理、消毒、耗材供应、巡检和预防性维护</t>
  </si>
  <si>
    <t>作为科技、得印科技、呵康科技</t>
  </si>
  <si>
    <t>感染控制、耗材成本和响应时效</t>
  </si>
  <si>
    <t>决定护理机器人全生命周期成本</t>
  </si>
  <si>
    <t>服务合资/本地售后中心</t>
  </si>
  <si>
    <t>S70;S72;S87</t>
  </si>
  <si>
    <t>CL028</t>
  </si>
  <si>
    <t>首购首用与合作创新采购</t>
  </si>
  <si>
    <t>先购买研发服务、再购买产品并形成示范订单</t>
  </si>
  <si>
    <t>武汉市政府、场景单位、产业平台</t>
  </si>
  <si>
    <t>预算合规、绩效验收和责任分配</t>
  </si>
  <si>
    <t>缩短新产品进入市场周期</t>
  </si>
  <si>
    <t>场景开放/合作创新采购</t>
  </si>
  <si>
    <t>S57;S58</t>
  </si>
  <si>
    <t>武汉市科技创新局、武汉市经济和信息化局</t>
  </si>
  <si>
    <t>重点产品与商业模式增强数据库</t>
  </si>
  <si>
    <t>价格字段仅保留公开采购案例或“未公开”；同一企业可有多个产品记录，便于按场景筛选。</t>
  </si>
  <si>
    <t>赛道</t>
  </si>
  <si>
    <t>产品/方案</t>
  </si>
  <si>
    <t>用户/场景</t>
  </si>
  <si>
    <t>核心功能</t>
  </si>
  <si>
    <t>采购/付费主体</t>
  </si>
  <si>
    <t>商业模式</t>
  </si>
  <si>
    <t>公开价格</t>
  </si>
  <si>
    <t>商业进展</t>
  </si>
  <si>
    <t>阶段</t>
  </si>
  <si>
    <t>武汉城投建议</t>
  </si>
  <si>
    <t>来源链接</t>
  </si>
  <si>
    <t>PR001</t>
  </si>
  <si>
    <t>康复</t>
  </si>
  <si>
    <t>上肢康复机器人/智能康复港</t>
  </si>
  <si>
    <t>傅利叶智能</t>
  </si>
  <si>
    <t>医院/康复中心/康养机构</t>
  </si>
  <si>
    <t>训练、评估、多机协同</t>
  </si>
  <si>
    <t>机构采购/区域康复中心</t>
  </si>
  <si>
    <t>销售+方案+服务</t>
  </si>
  <si>
    <t>询价，未公开统一价格</t>
  </si>
  <si>
    <t>已服务40多个国家和地区约2000家机构与医院</t>
  </si>
  <si>
    <t>商业化</t>
  </si>
  <si>
    <t>建议区域康复示范中心+股权跟踪</t>
  </si>
  <si>
    <t>事实+企业披露</t>
  </si>
  <si>
    <t>S22</t>
  </si>
  <si>
    <t>https://www.fftai.cn/products-rehabilitation</t>
  </si>
  <si>
    <t>PR002</t>
  </si>
  <si>
    <t>UGO系列下肢外骨骼</t>
  </si>
  <si>
    <t>程天科技</t>
  </si>
  <si>
    <t>脑卒中/脊髓损伤及行动障碍人群</t>
  </si>
  <si>
    <t>步态训练、助行</t>
  </si>
  <si>
    <t>医院/康复机构/家庭</t>
  </si>
  <si>
    <t>销售+租赁/服务需核实</t>
  </si>
  <si>
    <t>询价</t>
  </si>
  <si>
    <t>已有商业产品，具体交付与注册证逐项核验</t>
  </si>
  <si>
    <t>联合场景验证+成长轮投资尽调</t>
  </si>
  <si>
    <t>S23</t>
  </si>
  <si>
    <t>https://www.roboct.com/</t>
  </si>
  <si>
    <t>PR003</t>
  </si>
  <si>
    <t>智能辅助出行产品</t>
  </si>
  <si>
    <t>邦邦机器人</t>
  </si>
  <si>
    <t>下肢运动障碍与老年人</t>
  </si>
  <si>
    <t>智能轮椅、辅助出行</t>
  </si>
  <si>
    <t>个人/机构/经销商</t>
  </si>
  <si>
    <t>销售+服务</t>
  </si>
  <si>
    <t>国家级专精特新小巨人；官网披露近亿元B轮融资</t>
  </si>
  <si>
    <t>招引区域销售服务中心+股权投资</t>
  </si>
  <si>
    <t>S24</t>
  </si>
  <si>
    <t>https://bangbangrobotics.com/about</t>
  </si>
  <si>
    <t>PR004</t>
  </si>
  <si>
    <t>上/下肢及外骨骼康复产品</t>
  </si>
  <si>
    <t>翔宇医疗</t>
  </si>
  <si>
    <t>医疗机构及院外康复</t>
  </si>
  <si>
    <t>评估、训练、理疗</t>
  </si>
  <si>
    <t>医院/康复机构</t>
  </si>
  <si>
    <t>设备销售+整体解决方案</t>
  </si>
  <si>
    <t>2025主营收入7.41亿元、主营毛利率67.9%；机器人为前沿扩展线</t>
  </si>
  <si>
    <t>商业化/产品扩展</t>
  </si>
  <si>
    <t>上市公司产业合作或专项基金配置</t>
  </si>
  <si>
    <t>S25</t>
  </si>
  <si>
    <t>https://money.finance.sina.com.cn/corp/view/vCB_AllBulletinDetail.php?id=12170111&amp;stockid=688626</t>
  </si>
  <si>
    <t>PR005</t>
  </si>
  <si>
    <t>武汉海沁医疗</t>
  </si>
  <si>
    <t>康复机构/康养客户</t>
  </si>
  <si>
    <t>AI康复训练</t>
  </si>
  <si>
    <t>机构采购</t>
  </si>
  <si>
    <t>设备+康养服务</t>
  </si>
  <si>
    <t>官网称2025年获二类医疗器械注册证；注册证范围需NMPA逐项复核</t>
  </si>
  <si>
    <t>导入期</t>
  </si>
  <si>
    <t>武汉本地示范+注册/订单尽调</t>
  </si>
  <si>
    <t>S32</t>
  </si>
  <si>
    <t>海沁医疗</t>
  </si>
  <si>
    <t>https://www.epmomedical.com/</t>
  </si>
  <si>
    <t>PR006</t>
  </si>
  <si>
    <t>具身智能助行外骨骼</t>
  </si>
  <si>
    <t>武汉沃森拓客</t>
  </si>
  <si>
    <t>老年助行与康复</t>
  </si>
  <si>
    <t>步态自适应</t>
  </si>
  <si>
    <t>机构/科研/潜在家庭</t>
  </si>
  <si>
    <t>产品/服务待核实</t>
  </si>
  <si>
    <t>未公开</t>
  </si>
  <si>
    <t>列入武汉市科技成果登记；商业订单与注册资质需核实</t>
  </si>
  <si>
    <t>成果转化</t>
  </si>
  <si>
    <t>早期成果转化投资+联合研发</t>
  </si>
  <si>
    <t>S30</t>
  </si>
  <si>
    <t>武汉市科技局</t>
  </si>
  <si>
    <t>https://kjj.wuhan.gov.cn/wmfw/tzgg/gsxx/202503/P020250320328045232454.pdf</t>
  </si>
  <si>
    <t>PR007</t>
  </si>
  <si>
    <t>护理</t>
  </si>
  <si>
    <t>洁便/排泄护理机器人</t>
  </si>
  <si>
    <t>呵康科技</t>
  </si>
  <si>
    <t>失能卧床老人</t>
  </si>
  <si>
    <t>排泄处理、清洁、体征数据</t>
  </si>
  <si>
    <t>家庭/机构</t>
  </si>
  <si>
    <t>已形成产品展示；规模交付、注册和事故责任边界需尽调</t>
  </si>
  <si>
    <t>试点/导入</t>
  </si>
  <si>
    <t>安养链小规模试点，达标后投资</t>
  </si>
  <si>
    <t>S41</t>
  </si>
  <si>
    <t>https://www.chinaevercare.com/index.aspx</t>
  </si>
  <si>
    <t>PR008</t>
  </si>
  <si>
    <t>智慧康养全场景解决方案</t>
  </si>
  <si>
    <t>优必选</t>
  </si>
  <si>
    <t>养老机构/社区/家庭</t>
  </si>
  <si>
    <t>代步、递送、监测、康养云平台</t>
  </si>
  <si>
    <t>机构/政府/家庭</t>
  </si>
  <si>
    <t>硬件+软件+服务+运营</t>
  </si>
  <si>
    <t>上市公司，具备人形机器人全栈能力；养老项目收入需分拆核验</t>
  </si>
  <si>
    <t>导入/示范</t>
  </si>
  <si>
    <t>场景合作+基金或战略配售型机会</t>
  </si>
  <si>
    <t>S26</t>
  </si>
  <si>
    <t>https://www.ubtrobot.com/cn/about/company-profile</t>
  </si>
  <si>
    <t>PR009</t>
  </si>
  <si>
    <t>配送/引导服务机器人</t>
  </si>
  <si>
    <t>擎朗智能</t>
  </si>
  <si>
    <t>养老机构/医院</t>
  </si>
  <si>
    <t>物资配送、引导、巡检</t>
  </si>
  <si>
    <t>销售/租赁/运维</t>
  </si>
  <si>
    <t>商业服务场景成熟；养老专用适配需验证</t>
  </si>
  <si>
    <t>成熟产品跨场景</t>
  </si>
  <si>
    <t>安养链集采试点+华中运营中心招引</t>
  </si>
  <si>
    <t>S39</t>
  </si>
  <si>
    <t>https://www.keenon.com/</t>
  </si>
  <si>
    <t>PR010</t>
  </si>
  <si>
    <t>CC1等清洁配送机器人</t>
  </si>
  <si>
    <t>普渡机器人</t>
  </si>
  <si>
    <t>养老机构/医院/公共空间</t>
  </si>
  <si>
    <t>清洁、配送、回收</t>
  </si>
  <si>
    <t>销售/租赁/服务</t>
  </si>
  <si>
    <t>清洁配送已有规模化商用基础；需做适老安全和楼宇接口验证</t>
  </si>
  <si>
    <t>物业+养老双场景试点/招引</t>
  </si>
  <si>
    <t>S38</t>
  </si>
  <si>
    <t>https://www.pudurobotics.com/</t>
  </si>
  <si>
    <t>PR011</t>
  </si>
  <si>
    <t>多机协同智慧康养方案</t>
  </si>
  <si>
    <t>光谷东智</t>
  </si>
  <si>
    <t>养老机构/医疗机构</t>
  </si>
  <si>
    <t>康养服务、巡检、交互、多机协同</t>
  </si>
  <si>
    <t>机构/政府</t>
  </si>
  <si>
    <t>方案+运营</t>
  </si>
  <si>
    <t>公开信息称已在多家医疗和养老机构试点，具体名单与效果需核验</t>
  </si>
  <si>
    <t>试点</t>
  </si>
  <si>
    <t>武汉本地联合示范+里程碑股权投资</t>
  </si>
  <si>
    <t>S31</t>
  </si>
  <si>
    <t>武汉市投资促进局</t>
  </si>
  <si>
    <t>https://tc.wuhan.gov.cn/tzwh/tzzx/202606/t20260626_2813476.shtml</t>
  </si>
  <si>
    <t>PR012</t>
  </si>
  <si>
    <t>陪伴</t>
  </si>
  <si>
    <t>U-DHOO养老陪伴AI</t>
  </si>
  <si>
    <t>顶智智造</t>
  </si>
  <si>
    <t>独居/机构老人</t>
  </si>
  <si>
    <t>语音陪伴、远程连接、健康服务</t>
  </si>
  <si>
    <t>硬件+订阅/服务待核实</t>
  </si>
  <si>
    <t>获得展会奖项；真实活跃、续费和照护效果需尽调</t>
  </si>
  <si>
    <t>小额采购试点/持续跟踪</t>
  </si>
  <si>
    <t>S40</t>
  </si>
  <si>
    <t>https://www.toptechim.com/</t>
  </si>
  <si>
    <t>PR013</t>
  </si>
  <si>
    <t>智慧陪伴与康养终端</t>
  </si>
  <si>
    <t>妙伴/康伴等创业企业</t>
  </si>
  <si>
    <t>居家老人/社区</t>
  </si>
  <si>
    <t>方言交互、提醒、健康入口</t>
  </si>
  <si>
    <t>家庭/社区/运营方</t>
  </si>
  <si>
    <t>硬件+订阅+服务</t>
  </si>
  <si>
    <t>公开零售价格需逐款核实</t>
  </si>
  <si>
    <t>同类企业多、进入门槛下降</t>
  </si>
  <si>
    <t>早期/竞争激烈</t>
  </si>
  <si>
    <t>仅做渠道/服务包试点，不宜单纯硬件投资</t>
  </si>
  <si>
    <t>https://www.ncsti.gov.cn/kjdt/tzgg/202506/t20250610_207396.html</t>
  </si>
  <si>
    <t>PR014</t>
  </si>
  <si>
    <t>PARO治疗型海豹机器人</t>
  </si>
  <si>
    <t>日本 Intelligent System</t>
  </si>
  <si>
    <t>失智/情绪障碍老人</t>
  </si>
  <si>
    <t>情绪安抚、非药物干预</t>
  </si>
  <si>
    <t>机构/医院</t>
  </si>
  <si>
    <t>设备销售</t>
  </si>
  <si>
    <t>海外价格与国内准入另核</t>
  </si>
  <si>
    <t>国际标杆，临床证据相对丰富</t>
  </si>
  <si>
    <t>成熟标杆</t>
  </si>
  <si>
    <t>用于对标，不作为近期境内投资标的</t>
  </si>
  <si>
    <t>PR015</t>
  </si>
  <si>
    <t>HAL外骨骼</t>
  </si>
  <si>
    <t>日本 CYBERDYNE</t>
  </si>
  <si>
    <t>神经肌肉康复人群</t>
  </si>
  <si>
    <t>生物电信号驱动辅助</t>
  </si>
  <si>
    <t>医疗机构</t>
  </si>
  <si>
    <t>租赁/服务为主</t>
  </si>
  <si>
    <t>海外价格需核实</t>
  </si>
  <si>
    <t>日本外骨骼标杆，安全认证与租赁模式值得借鉴</t>
  </si>
  <si>
    <t>合作交流/商业模式对标</t>
  </si>
  <si>
    <t>PR016</t>
  </si>
  <si>
    <t>平台</t>
  </si>
  <si>
    <t>安养链养老服务平台</t>
  </si>
  <si>
    <t>武汉城投公开体系</t>
  </si>
  <si>
    <t>武汉老年人、机构与商户</t>
  </si>
  <si>
    <t>服务聚合、线上线下运营</t>
  </si>
  <si>
    <t>政府/运营主体/家庭</t>
  </si>
  <si>
    <t>平台+服务交易</t>
  </si>
  <si>
    <t>不适用</t>
  </si>
  <si>
    <t>注册用户100万、商户2000；首批上线726家服务机构与9400项产品</t>
  </si>
  <si>
    <t>运营中</t>
  </si>
  <si>
    <t>作为机器人场景导入和服务闭环底座</t>
  </si>
  <si>
    <t>S05;S07</t>
  </si>
  <si>
    <t>武汉市财政局、武汉市民政局</t>
  </si>
  <si>
    <t>https://czj.wuhan.gov.cn/FBJD/XXGKML/CZGK/dftzgs/202509/t20250903_2643258.html
https://mzj.wuhan.gov.cn/zwgk_918/fdzdgk/czzj/202510/P020251011400514790950.pdf</t>
  </si>
  <si>
    <t>PR017</t>
  </si>
  <si>
    <t>上下肢主被动训练设备</t>
  </si>
  <si>
    <t>伟思医疗</t>
  </si>
  <si>
    <t>医院康复科/养老机构</t>
  </si>
  <si>
    <t>重复训练、参数记录和评估</t>
  </si>
  <si>
    <t>医院/机构</t>
  </si>
  <si>
    <t>设备销售+维保</t>
  </si>
  <si>
    <t>未单列</t>
  </si>
  <si>
    <t>上市公司渠道可审计；机器人收入未单列</t>
  </si>
  <si>
    <t>业务合作/跟踪</t>
  </si>
  <si>
    <t>S88</t>
  </si>
  <si>
    <t>https://money.finance.sina.com.cn/corp/view/vCB_AllBulletinDetail.php?id=12217958&amp;stockid=688580</t>
  </si>
  <si>
    <t>PR018</t>
  </si>
  <si>
    <t>羿生手功能康复机器人</t>
  </si>
  <si>
    <t>司羿智能</t>
  </si>
  <si>
    <t>医院—社区—家庭</t>
  </si>
  <si>
    <t>软体气动手功能训练</t>
  </si>
  <si>
    <t>医院/家庭</t>
  </si>
  <si>
    <t>设备销售+家用延续康复</t>
  </si>
  <si>
    <t>企业披露覆盖80余国、4000余家医院和6万家庭，需审计</t>
  </si>
  <si>
    <t>成长期</t>
  </si>
  <si>
    <t>股权尽调/场景验证</t>
  </si>
  <si>
    <t>S67</t>
  </si>
  <si>
    <t>https://www.syrebo.com/about-us</t>
  </si>
  <si>
    <t>PR019</t>
  </si>
  <si>
    <t>AiLegs/AiWalker下肢外骨骼</t>
  </si>
  <si>
    <t>大艾机器人</t>
  </si>
  <si>
    <t>医院/康养机构</t>
  </si>
  <si>
    <t>步态训练与辅助行走</t>
  </si>
  <si>
    <t>设备销售+租赁</t>
  </si>
  <si>
    <t>入选国家养老机器人试点</t>
  </si>
  <si>
    <t>场景验证/持续跟踪</t>
  </si>
  <si>
    <t>S48</t>
  </si>
  <si>
    <t>工业和信息化部、民政部</t>
  </si>
  <si>
    <t>https://www.miit.gov.cn/cms_files/filemanager/1226211233/attach/20259/9abb9844496942e9bbd91b411b5b38ff.pdf</t>
  </si>
  <si>
    <t>PR020</t>
  </si>
  <si>
    <t>H系列下肢外骨骼</t>
  </si>
  <si>
    <t>迈步机器人</t>
  </si>
  <si>
    <t>步态训练、柔性驱动</t>
  </si>
  <si>
    <t>已公开进入医院和康养机构，近年经营数据待核</t>
  </si>
  <si>
    <t>持续跟踪</t>
  </si>
  <si>
    <t>S45</t>
  </si>
  <si>
    <t>公开招聘平台样本</t>
  </si>
  <si>
    <t>https://www.zhaopin.com/zhaopin/c024d9480f874e8db869eb610eb36b37/</t>
  </si>
  <si>
    <t>PR021</t>
  </si>
  <si>
    <t>大小便智能护理机器人</t>
  </si>
  <si>
    <t>作为科技</t>
  </si>
  <si>
    <t>失能老人/机构/居家</t>
  </si>
  <si>
    <t>识别、抽污、冲洗、烘干</t>
  </si>
  <si>
    <t>机构/家庭/政府</t>
  </si>
  <si>
    <t>销售+耗材+维保/租赁</t>
  </si>
  <si>
    <t>公开采购样本，非行业均价</t>
  </si>
  <si>
    <t>国家试点牵头企业</t>
  </si>
  <si>
    <t>产品验证</t>
  </si>
  <si>
    <t>机构试点后股权判断</t>
  </si>
  <si>
    <t>S70;S48</t>
  </si>
  <si>
    <t>作为科技、工业和信息化部、民政部</t>
  </si>
  <si>
    <t>https://zuowei.com/
https://www.miit.gov.cn/cms_files/filemanager/1226211233/attach/20259/9abb9844496942e9bbd91b411b5b38ff.pdf</t>
  </si>
  <si>
    <t>PR022</t>
  </si>
  <si>
    <t>二便智能护理机器人</t>
  </si>
  <si>
    <t>得印科技</t>
  </si>
  <si>
    <t>卧床失能老人</t>
  </si>
  <si>
    <t>排泄识别与清洁</t>
  </si>
  <si>
    <t>机构/家庭</t>
  </si>
  <si>
    <t>销售+维保</t>
  </si>
  <si>
    <t>参与国家智能养老轮椅项目</t>
  </si>
  <si>
    <t>S72;S48</t>
  </si>
  <si>
    <t>得印科技、工业和信息化部、民政部</t>
  </si>
  <si>
    <t>https://www.deyintech.com/product
https://www.miit.gov.cn/cms_files/filemanager/1226211233/attach/20259/9abb9844496942e9bbd91b411b5b38ff.pdf</t>
  </si>
  <si>
    <t>PR023</t>
  </si>
  <si>
    <t>床边上下肢主被动训练系统</t>
  </si>
  <si>
    <t>新松机器人</t>
  </si>
  <si>
    <t>医院/养老机构床旁</t>
  </si>
  <si>
    <t>床旁康复训练</t>
  </si>
  <si>
    <t>设备销售+项目交付</t>
  </si>
  <si>
    <t>有正式产品页；养老业务未单列</t>
  </si>
  <si>
    <t>采购合作/园区招商</t>
  </si>
  <si>
    <t>S73;S90</t>
  </si>
  <si>
    <t>https://www.siasun.com/products/afsaaqa.html
https://www.siasun.com/uploads/file/20260427/335fc9a5e2378da43372ad89d6beb488.pdf</t>
  </si>
  <si>
    <t>PR024</t>
  </si>
  <si>
    <t>二便护理机器人</t>
  </si>
  <si>
    <t>苏州伊利诺</t>
  </si>
  <si>
    <t>二便处理与清洁</t>
  </si>
  <si>
    <t>机构/居家</t>
  </si>
  <si>
    <t>销售+耗材+维护</t>
  </si>
  <si>
    <t>国家试点项目牵头单位</t>
  </si>
  <si>
    <t>试点对接</t>
  </si>
  <si>
    <t>PR025</t>
  </si>
  <si>
    <t>移乘转运机器人系统</t>
  </si>
  <si>
    <t>山东科亿宏</t>
  </si>
  <si>
    <t>床椅移乘、转运</t>
  </si>
  <si>
    <t>设备销售+项目制</t>
  </si>
  <si>
    <t>场景合作</t>
  </si>
  <si>
    <t>PR026</t>
  </si>
  <si>
    <t>多机协同离床转运系统</t>
  </si>
  <si>
    <t>广州柔机人</t>
  </si>
  <si>
    <t>养老机构/康复医院</t>
  </si>
  <si>
    <t>离床、转运、护理协作</t>
  </si>
  <si>
    <t>项目制+设备</t>
  </si>
  <si>
    <t>研发验证</t>
  </si>
  <si>
    <t>联合试点</t>
  </si>
  <si>
    <t>PR027</t>
  </si>
  <si>
    <t>一体化智能护理床椅机器人</t>
  </si>
  <si>
    <t>上海宣康</t>
  </si>
  <si>
    <t>床椅转换与护理</t>
  </si>
  <si>
    <t>设备销售/租赁</t>
  </si>
  <si>
    <t>长期跟踪</t>
  </si>
  <si>
    <t>PR028</t>
  </si>
  <si>
    <t>居家助浴专用护理机器人</t>
  </si>
  <si>
    <t>居家/社区/机构</t>
  </si>
  <si>
    <t>助浴与洗护</t>
  </si>
  <si>
    <t>家庭/政府/机构</t>
  </si>
  <si>
    <t>设备+服务</t>
  </si>
  <si>
    <t>S48;S89</t>
  </si>
  <si>
    <t>工业和信息化部、民政部、翔宇医疗</t>
  </si>
  <si>
    <t>https://www.miit.gov.cn/cms_files/filemanager/1226211233/attach/20259/9abb9844496942e9bbd91b411b5b38ff.pdf
https://www.xyyl.com/news_details/401.html</t>
  </si>
  <si>
    <t>PR029</t>
  </si>
  <si>
    <t>智能护理床与外骨骼系列</t>
  </si>
  <si>
    <t>排泄、洗浴、移位、助行</t>
  </si>
  <si>
    <t>产品组合+平台</t>
  </si>
  <si>
    <t>企业发布多产品护理矩阵</t>
  </si>
  <si>
    <t>产品组合试点</t>
  </si>
  <si>
    <t>S70</t>
  </si>
  <si>
    <t>https://zuowei.com/</t>
  </si>
  <si>
    <t>PR030</t>
  </si>
  <si>
    <t>ExoMotus M4下肢外骨骼</t>
  </si>
  <si>
    <t>下肢步态训练</t>
  </si>
  <si>
    <t>设备销售+康复港方案</t>
  </si>
  <si>
    <t>政府采购需逐单核验</t>
  </si>
  <si>
    <t>企业披露约2000家机构和医院</t>
  </si>
  <si>
    <t>区域总部/示范中心</t>
  </si>
  <si>
    <t>S65</t>
  </si>
  <si>
    <t>PR031</t>
  </si>
  <si>
    <t>GR-3 Care-bot</t>
  </si>
  <si>
    <t>康养机构/家庭</t>
  </si>
  <si>
    <t>柔肤交互、陪伴与多模态交互</t>
  </si>
  <si>
    <t>设备+方案</t>
  </si>
  <si>
    <t>2025年发布，养老规模收入未公开</t>
  </si>
  <si>
    <t>原型/试点</t>
  </si>
  <si>
    <t>场景试点/长期储备</t>
  </si>
  <si>
    <t>S66</t>
  </si>
  <si>
    <t>https://www.fftai.cn/about-medium-company/44</t>
  </si>
  <si>
    <t>PR032</t>
  </si>
  <si>
    <t>优颐然Welli</t>
  </si>
  <si>
    <t>心理陪伴、认知照护、亲情管理</t>
  </si>
  <si>
    <t>设备+平台+项目</t>
  </si>
  <si>
    <t>正式产品及规格可核</t>
  </si>
  <si>
    <t>商业化早期</t>
  </si>
  <si>
    <t>项目合作/数据考核</t>
  </si>
  <si>
    <t>S68;S91</t>
  </si>
  <si>
    <t>https://www.ubtrobot.com/cn/healthcare/products/smart-companiod-robot/welli
https://www.hkexnews.hk/listedco/listconews/sehk/2026/0414/2026041401168.pdf</t>
  </si>
  <si>
    <t>PR033</t>
  </si>
  <si>
    <t>优颐乐Wassi辅助行走机器人</t>
  </si>
  <si>
    <t>养老院/康复机构</t>
  </si>
  <si>
    <t>步态训练、报告与数据追踪</t>
  </si>
  <si>
    <t>设备+平台</t>
  </si>
  <si>
    <t>正式产品页可核</t>
  </si>
  <si>
    <t>场景验证</t>
  </si>
  <si>
    <t>S19;S69</t>
  </si>
  <si>
    <t>武汉理工大学、优必选</t>
  </si>
  <si>
    <t>https://wutinfo.whut.edu.cn/yjspy/dsjs/202401/t20240130_579369.shtml
https://www.ubtrobot.com/cn/healthcare/solutions</t>
  </si>
  <si>
    <t>PR034</t>
  </si>
  <si>
    <t>小丽长者陪伴机器人</t>
  </si>
  <si>
    <t>森丽康科技</t>
  </si>
  <si>
    <t>家庭/养老机构</t>
  </si>
  <si>
    <t>陪伴、提醒、跟随、跌倒检测</t>
  </si>
  <si>
    <t>项目+设备/服务</t>
  </si>
  <si>
    <t>入选国家试点；付费规模未披露</t>
  </si>
  <si>
    <t>试点对接/持续跟踪</t>
  </si>
  <si>
    <t>PR035</t>
  </si>
  <si>
    <t>大头阿亮养老机器人</t>
  </si>
  <si>
    <t>艾雨文承</t>
  </si>
  <si>
    <t>陪聊、提醒、远程看护、健康服务</t>
  </si>
  <si>
    <t>硬件+服务</t>
  </si>
  <si>
    <t>公开早期销售及股权投资线索，需复核</t>
  </si>
  <si>
    <t>股权线索/尽调</t>
  </si>
  <si>
    <t>PR036</t>
  </si>
  <si>
    <t>健康陪伴机器人K1/K2H/K4</t>
  </si>
  <si>
    <t>康伴机器人</t>
  </si>
  <si>
    <t>居家/机构/健康网点</t>
  </si>
  <si>
    <t>健康管理、慢病与陪伴</t>
  </si>
  <si>
    <t>硬件+健康服务</t>
  </si>
  <si>
    <t>正式产品矩阵可核，运营数据未披露</t>
  </si>
  <si>
    <t>场景试点</t>
  </si>
  <si>
    <t>S84</t>
  </si>
  <si>
    <t>https://kangbot.com/</t>
  </si>
  <si>
    <t>PR037</t>
  </si>
  <si>
    <t>探针跌倒监测终端</t>
  </si>
  <si>
    <t>萌特博</t>
  </si>
  <si>
    <t>跌倒识别与双向语音</t>
  </si>
  <si>
    <t>企业官网可核</t>
  </si>
  <si>
    <t>小规模采购验证</t>
  </si>
  <si>
    <t>S85</t>
  </si>
  <si>
    <t>萌特博智能机器人</t>
  </si>
  <si>
    <t>https://www.metabotcare.com/</t>
  </si>
  <si>
    <t>PR038</t>
  </si>
  <si>
    <t>丽洗乐护理机器人</t>
  </si>
  <si>
    <t>上海喜明</t>
  </si>
  <si>
    <t>排泄处理与护理平台</t>
  </si>
  <si>
    <t>设备+护理服务</t>
  </si>
  <si>
    <t>企业官网可核，规模数据待核</t>
  </si>
  <si>
    <t>S86</t>
  </si>
  <si>
    <t>上海喜明智慧养老服务有限公司</t>
  </si>
  <si>
    <t>https://www.id-mt.com/</t>
  </si>
  <si>
    <t>PR039</t>
  </si>
  <si>
    <t>生活照料</t>
  </si>
  <si>
    <t>智慧居家系列养老机器人</t>
  </si>
  <si>
    <t>海尔机器人科技</t>
  </si>
  <si>
    <t>家庭</t>
  </si>
  <si>
    <t>居家服务、健康与环境联动</t>
  </si>
  <si>
    <t>家庭/政府</t>
  </si>
  <si>
    <t>硬件+生态服务</t>
  </si>
  <si>
    <t>生态合作</t>
  </si>
  <si>
    <t>PR040</t>
  </si>
  <si>
    <t>生活照料智能养老机器人</t>
  </si>
  <si>
    <t>润泽科技/乐聚/松延动力</t>
  </si>
  <si>
    <t>具身智能生活照料</t>
  </si>
  <si>
    <t>项目制</t>
  </si>
  <si>
    <t>国家试点项目</t>
  </si>
  <si>
    <t>试点观察</t>
  </si>
  <si>
    <t>PR041</t>
  </si>
  <si>
    <t>健康管理</t>
  </si>
  <si>
    <t>养老健康管理机器人</t>
  </si>
  <si>
    <t>京东科技</t>
  </si>
  <si>
    <t>居家/社区</t>
  </si>
  <si>
    <t>健康管理与服务转介</t>
  </si>
  <si>
    <t>政府/家庭</t>
  </si>
  <si>
    <t>平台+服务</t>
  </si>
  <si>
    <t>平台合作</t>
  </si>
  <si>
    <t>PR042</t>
  </si>
  <si>
    <t>理疗</t>
  </si>
  <si>
    <t>数智化老年理疗服务机器人</t>
  </si>
  <si>
    <t>上海钧控/法奥意威</t>
  </si>
  <si>
    <t>社区/养老机构</t>
  </si>
  <si>
    <t>理疗、协作机械臂</t>
  </si>
  <si>
    <t>示范项目</t>
  </si>
  <si>
    <t>PR043</t>
  </si>
  <si>
    <t>辅助行走</t>
  </si>
  <si>
    <t>AI助行外骨骼</t>
  </si>
  <si>
    <t>杭州智元研究院</t>
  </si>
  <si>
    <t>AI助行</t>
  </si>
  <si>
    <t>设备+项目</t>
  </si>
  <si>
    <t>PR044</t>
  </si>
  <si>
    <t>智能健康监测机器人</t>
  </si>
  <si>
    <t>冠云科技</t>
  </si>
  <si>
    <t>健康监测与告警</t>
  </si>
  <si>
    <t>PR045</t>
  </si>
  <si>
    <t>多场景</t>
  </si>
  <si>
    <t>多场景智能养老服务机器人</t>
  </si>
  <si>
    <t>珞石机器人</t>
  </si>
  <si>
    <t>多场景协作与服务</t>
  </si>
  <si>
    <t>产业招引/场景合作</t>
  </si>
  <si>
    <t>市场规模、需求与盈利代理指标增强数据库</t>
  </si>
  <si>
    <t>实际值、机构预测、样本统计和情景估算严格区分；不同口径不可直接相加。</t>
  </si>
  <si>
    <t>指标/环节</t>
  </si>
  <si>
    <t>指标类型</t>
  </si>
  <si>
    <t>年份</t>
  </si>
  <si>
    <t>数值</t>
  </si>
  <si>
    <t>单位</t>
  </si>
  <si>
    <t>增速/毛利率</t>
  </si>
  <si>
    <t>口径与局限</t>
  </si>
  <si>
    <t>MK001</t>
  </si>
  <si>
    <t>全球专业服务机器人</t>
  </si>
  <si>
    <t>出货量</t>
  </si>
  <si>
    <t>2024</t>
  </si>
  <si>
    <t>台</t>
  </si>
  <si>
    <t>IFR样本294家供应商，非完整市场金额</t>
  </si>
  <si>
    <t>事实</t>
  </si>
  <si>
    <t>S04</t>
  </si>
  <si>
    <t>国际机器人联合会 IFR</t>
  </si>
  <si>
    <t>https://ifr.org/worldrobotics/report-2025</t>
  </si>
  <si>
    <t>MK002</t>
  </si>
  <si>
    <t>全球医疗机器人</t>
  </si>
  <si>
    <t>IFR将医疗机器人作为独立类别统计，不能与专业服务机器人简单相加</t>
  </si>
  <si>
    <t>MK003</t>
  </si>
  <si>
    <t>康复/非侵入治疗机器人</t>
  </si>
  <si>
    <t>出货增速</t>
  </si>
  <si>
    <t/>
  </si>
  <si>
    <t>IFR披露同比增速，未在公开摘要给出本报告口径下完整台数</t>
  </si>
  <si>
    <t>MK004</t>
  </si>
  <si>
    <t>中国60岁及以上人口</t>
  </si>
  <si>
    <t>人口</t>
  </si>
  <si>
    <t>2025</t>
  </si>
  <si>
    <t>人</t>
  </si>
  <si>
    <t>占总人口23.0%</t>
  </si>
  <si>
    <t>S03</t>
  </si>
  <si>
    <t>国家统计局</t>
  </si>
  <si>
    <t>https://www.stats.gov.cn/sj/sjjd/202601/t20260119_1962338.html</t>
  </si>
  <si>
    <t>MK005</t>
  </si>
  <si>
    <t>中国65岁及以上人口</t>
  </si>
  <si>
    <t>占总人口15.9%</t>
  </si>
  <si>
    <t>MK006</t>
  </si>
  <si>
    <t>武汉60岁及以上人口</t>
  </si>
  <si>
    <t>2020</t>
  </si>
  <si>
    <t>第七次人口普查，占17.23%；2026当前值需采用最新公开分年龄数据更新</t>
  </si>
  <si>
    <t>S12</t>
  </si>
  <si>
    <t>武汉市统计局</t>
  </si>
  <si>
    <t>https://tjj.wuhan.gov.cn/tjfw/tjgb/202105/t20210528_1707401.shtml</t>
  </si>
  <si>
    <t>MK007</t>
  </si>
  <si>
    <t>武汉城投公开养老床位</t>
  </si>
  <si>
    <t>场景规模</t>
  </si>
  <si>
    <t>公开简介</t>
  </si>
  <si>
    <t>张</t>
  </si>
  <si>
    <t>仅代表公开确认范围，不等于集团全部资源</t>
  </si>
  <si>
    <t>S05</t>
  </si>
  <si>
    <t>武汉市财政局</t>
  </si>
  <si>
    <t>https://czj.wuhan.gov.cn/FBJD/XXGKML/CZGK/dftzgs/202509/t20250903_2643258.html</t>
  </si>
  <si>
    <t>MK008</t>
  </si>
  <si>
    <t>翔宇医疗主营业务</t>
  </si>
  <si>
    <t>收入/毛利率</t>
  </si>
  <si>
    <t>元</t>
  </si>
  <si>
    <t>康复医疗综合业务，可作为成熟康复设备盈利代理，不等于机器人单品毛利</t>
  </si>
  <si>
    <t>预测/代理</t>
  </si>
  <si>
    <t>MK009</t>
  </si>
  <si>
    <t>收入/测算毛利率</t>
  </si>
  <si>
    <t>毛利率按收入减营业成本测算，3D视觉业务代理</t>
  </si>
  <si>
    <t>https://big5.sse.com.cn/site/cht/www.sse.com.cn/disclosure/listedinfo/announcement/c/new/2026-04-20/688322_20260420_BAVZ.pdf</t>
  </si>
  <si>
    <t>MK010</t>
  </si>
  <si>
    <t>汇川工业自动化及数字化业务</t>
  </si>
  <si>
    <t>核心控制与自动化代理，不等于养老机器人利润</t>
  </si>
  <si>
    <t>S28</t>
  </si>
  <si>
    <t>汇川技术</t>
  </si>
  <si>
    <t>https://static.cninfo.com.cn/finalpage/2026-04-28/1225208488.PDF</t>
  </si>
  <si>
    <t>MK011</t>
  </si>
  <si>
    <t>埃斯顿自动化核心部件</t>
  </si>
  <si>
    <t>机器人核心部件代理</t>
  </si>
  <si>
    <t>S29</t>
  </si>
  <si>
    <t>埃斯顿</t>
  </si>
  <si>
    <t>https://www.hkexnews.hk/listedco/listconews/sehk/2026/0331/2026033100025_c.pdf</t>
  </si>
  <si>
    <t>MK012</t>
  </si>
  <si>
    <t>下肢康复机器人采购预算案例</t>
  </si>
  <si>
    <t>单价</t>
  </si>
  <si>
    <t>元/套</t>
  </si>
  <si>
    <t>单一采购预算案例，不能当作行业均价</t>
  </si>
  <si>
    <t>S33</t>
  </si>
  <si>
    <t>陕西政府采购网</t>
  </si>
  <si>
    <t>https://www.ccgp-shaanxi.gov.cn/gpx-bid-file/ZF_JGBM_000003/zone/2025/1/12/project/gpx-template/8a69c29094ffdf68019546f563223a6a.pdf?accessCode=e712c040dda797c1cf1f1cc5d32d39c8</t>
  </si>
  <si>
    <t>MK013</t>
  </si>
  <si>
    <t>手功能康复机器人中标案例</t>
  </si>
  <si>
    <t>2026</t>
  </si>
  <si>
    <t>元/台</t>
  </si>
  <si>
    <t>单一型号中标价，体现产品价格跨度</t>
  </si>
  <si>
    <t>S34</t>
  </si>
  <si>
    <t>中国政府采购网</t>
  </si>
  <si>
    <t>https://www.ccgp.gov.cn/cggg/dfgg/zbgg/202605/t20260511_26544102.htm</t>
  </si>
  <si>
    <t>MK014</t>
  </si>
  <si>
    <t>实际值</t>
  </si>
  <si>
    <t>万人</t>
  </si>
  <si>
    <t>年末人口；占总人口23.0%</t>
  </si>
  <si>
    <t>S50</t>
  </si>
  <si>
    <t>https://www.stats.gov.cn/xxgk/sjfb/tjgb2020/202602/t20260228_1962662.html</t>
  </si>
  <si>
    <t>MK015</t>
  </si>
  <si>
    <t>中国60岁及以上人口占比</t>
  </si>
  <si>
    <t>%</t>
  </si>
  <si>
    <t>同比提升</t>
  </si>
  <si>
    <t>国家统计公报口径</t>
  </si>
  <si>
    <t>MK016</t>
  </si>
  <si>
    <t>长期护理保险参保人数</t>
  </si>
  <si>
    <t>49个试点城市</t>
  </si>
  <si>
    <t>S51</t>
  </si>
  <si>
    <t>国家医疗保障局</t>
  </si>
  <si>
    <t>https://www.nhsa.gov.cn/art/2025/7/14/art_7_17248.html</t>
  </si>
  <si>
    <t>MK017</t>
  </si>
  <si>
    <t>长期护理保险待遇享受人数</t>
  </si>
  <si>
    <t>年度享受待遇人数</t>
  </si>
  <si>
    <t>MK018</t>
  </si>
  <si>
    <t>长期护理保险基金收入</t>
  </si>
  <si>
    <t>亿元</t>
  </si>
  <si>
    <t>统计公报口径</t>
  </si>
  <si>
    <t>MK019</t>
  </si>
  <si>
    <t>长期护理保险基金支出</t>
  </si>
  <si>
    <t>MK020</t>
  </si>
  <si>
    <t>长期护理保险定点服务机构</t>
  </si>
  <si>
    <t>家</t>
  </si>
  <si>
    <t>MK021</t>
  </si>
  <si>
    <t>长期护理保险护理服务人员</t>
  </si>
  <si>
    <t>MK022</t>
  </si>
  <si>
    <t>全球专业服务机器人销量</t>
  </si>
  <si>
    <t>样本实际</t>
  </si>
  <si>
    <t>294家供应商样本，不外推全行业</t>
  </si>
  <si>
    <t>预测/样本</t>
  </si>
  <si>
    <t>S49</t>
  </si>
  <si>
    <t>国际机器人联合会</t>
  </si>
  <si>
    <t>https://ifr.org/ifr-press-releases/news/service-robots-see-global-growth-boom</t>
  </si>
  <si>
    <t>MK023</t>
  </si>
  <si>
    <t>全球医疗机器人销量</t>
  </si>
  <si>
    <t>IFR单列医疗机器人；样本口径</t>
  </si>
  <si>
    <t>MK024</t>
  </si>
  <si>
    <t>康复及非侵入治疗机器人销量增速</t>
  </si>
  <si>
    <t>仅增速，缺绝对销量</t>
  </si>
  <si>
    <t>MK025</t>
  </si>
  <si>
    <t>全球家庭照护机器人登记销量</t>
  </si>
  <si>
    <t>IFR样本中的care at home，属小众市场</t>
  </si>
  <si>
    <t>MK026</t>
  </si>
  <si>
    <t>全球RaaS在役机队增速</t>
  </si>
  <si>
    <t>服务机器人供应商样本</t>
  </si>
  <si>
    <t>MK027</t>
  </si>
  <si>
    <t>运输物流专业服务机器人销量</t>
  </si>
  <si>
    <t>可作为养老机构配送机器人成熟度代理</t>
  </si>
  <si>
    <t>MK028</t>
  </si>
  <si>
    <t>酒店商服机器人销量</t>
  </si>
  <si>
    <t>可作为导览/陪伴硬件供应链代理</t>
  </si>
  <si>
    <t>MK029</t>
  </si>
  <si>
    <t>专业清洁机器人销量</t>
  </si>
  <si>
    <t>可作为养老机构清洁机器人代理</t>
  </si>
  <si>
    <t>MK030</t>
  </si>
  <si>
    <t>中国养老机器人市场规模</t>
  </si>
  <si>
    <t>机构预测</t>
  </si>
  <si>
    <t>券商/机构预测，需回溯假设，不能视为事实</t>
  </si>
  <si>
    <t>MK031</t>
  </si>
  <si>
    <t>远期预测不确定性高</t>
  </si>
  <si>
    <t>MK032</t>
  </si>
  <si>
    <t>武汉人形机器人相关重点企业</t>
  </si>
  <si>
    <t>公开统计</t>
  </si>
  <si>
    <t>家以上</t>
  </si>
  <si>
    <t>相关企业不等于养老机器人企业</t>
  </si>
  <si>
    <t>S81</t>
  </si>
  <si>
    <t>湖北省科学技术厅</t>
  </si>
  <si>
    <t>https://kjt.hubei.gov.cn/kjdt/sxkj/wh/202507/t20250721_5727167.shtml</t>
  </si>
  <si>
    <t>MK033</t>
  </si>
  <si>
    <t>武汉机器人产业链企业</t>
  </si>
  <si>
    <t>公开报道</t>
  </si>
  <si>
    <t>含工业、服务和零部件企业</t>
  </si>
  <si>
    <t>S59</t>
  </si>
  <si>
    <t>https://3g.wuhan.gov.cn/sy/whyw/202506/t20250623_2598697.shtml</t>
  </si>
  <si>
    <t>MK034</t>
  </si>
  <si>
    <t>武汉市人形机器人产业投资基金</t>
  </si>
  <si>
    <t>政策规划</t>
  </si>
  <si>
    <t>需核验基金最终设立和实缴</t>
  </si>
  <si>
    <t>S58</t>
  </si>
  <si>
    <t>武汉市经济和信息化局</t>
  </si>
  <si>
    <t>https://jxj.wuhan.gov.cn/xxgk_9/fdzdgknr/ygzdgk/jytabl_01/202511/t20251113_2677076.html</t>
  </si>
  <si>
    <t>MK035</t>
  </si>
  <si>
    <t>湖北省人形机器人及人工智能产业投资母基金</t>
  </si>
  <si>
    <t>公开信息</t>
  </si>
  <si>
    <t>公开设立信息，具体出资结构待核</t>
  </si>
  <si>
    <t>MK036</t>
  </si>
  <si>
    <t>外骨骼康复器公开采购单价</t>
  </si>
  <si>
    <t>中标价</t>
  </si>
  <si>
    <t>万元/台</t>
  </si>
  <si>
    <t>单一型号单一项目，不代表均价</t>
  </si>
  <si>
    <t>S74</t>
  </si>
  <si>
    <t>https://www.ccgp.gov.cn/cggg/zygg/zbgg/202607/t20260710_26909785.htm</t>
  </si>
  <si>
    <t>MK037</t>
  </si>
  <si>
    <t>下肢康复训练机器人预算/采购样本</t>
  </si>
  <si>
    <t>采购文件</t>
  </si>
  <si>
    <t>高配置项目上限样本，不代表成交均价</t>
  </si>
  <si>
    <t>S75</t>
  </si>
  <si>
    <t>陕西省政府采购网</t>
  </si>
  <si>
    <t>https://www.ccgp-shaanxi.gov.cn/gpx-bid-file/ZF_JGBM_000003/610101/2023/9/5/8a69c72f8999b1e2018a404e323f6693/gpx-template/8a69c0d08b02824c018b6af79b2d78a2.pdf?accessCode=c19aacae8ee0cebcfe7634c5c29b95ea</t>
  </si>
  <si>
    <t>核心技术路线、TRL与投资动作增强数据库</t>
  </si>
  <si>
    <t>TRL为公开信息基础上的相对判断，不代表监管认可或商业成熟。</t>
  </si>
  <si>
    <t>技术层</t>
  </si>
  <si>
    <t>技术方向</t>
  </si>
  <si>
    <t>技术内涵</t>
  </si>
  <si>
    <t>TRL</t>
  </si>
  <si>
    <t>当前渗透</t>
  </si>
  <si>
    <t>主要瓶颈</t>
  </si>
  <si>
    <t>主流时间</t>
  </si>
  <si>
    <t>建议动作</t>
  </si>
  <si>
    <t>TC001</t>
  </si>
  <si>
    <t>基础层</t>
  </si>
  <si>
    <t>精密传动与关节模组</t>
  </si>
  <si>
    <t>减速器、丝杠、伺服、编码器集成</t>
  </si>
  <si>
    <t>TRL8-9</t>
  </si>
  <si>
    <t>成本、一致性、轻量化</t>
  </si>
  <si>
    <t>近期</t>
  </si>
  <si>
    <t>科峰传动、绿的谐波、汇川、埃斯顿</t>
  </si>
  <si>
    <t>股权/补链落地</t>
  </si>
  <si>
    <t>研究判断</t>
  </si>
  <si>
    <t>S21;S28;S29</t>
  </si>
  <si>
    <t>科峰传动、汇川技术、埃斯顿</t>
  </si>
  <si>
    <t>https://www.kofon.com.cn/
https://static.cninfo.com.cn/finalpage/2026-04-28/1225208488.PDF
https://www.hkexnews.hk/listedco/listconews/sehk/2026/0331/2026033100025_c.pdf</t>
  </si>
  <si>
    <t>TC002</t>
  </si>
  <si>
    <t>3D视觉与空间感知</t>
  </si>
  <si>
    <t>深度相机、骨骼/姿态识别</t>
  </si>
  <si>
    <t>弱光、遮挡、隐私</t>
  </si>
  <si>
    <t>投资+联合场景</t>
  </si>
  <si>
    <t>TC003</t>
  </si>
  <si>
    <t>力觉/触觉传感</t>
  </si>
  <si>
    <t>力矩、柔性触觉阵列</t>
  </si>
  <si>
    <t>TRL6-8</t>
  </si>
  <si>
    <t>可靠性、规模成本</t>
  </si>
  <si>
    <t>中期</t>
  </si>
  <si>
    <t>科研与专精特新企业</t>
  </si>
  <si>
    <t>联合研发/基金</t>
  </si>
  <si>
    <t>TC004</t>
  </si>
  <si>
    <t>感知层</t>
  </si>
  <si>
    <t>生命体征与跌倒检测</t>
  </si>
  <si>
    <t>毫米波/视觉/可穿戴多传感融合</t>
  </si>
  <si>
    <t>误报漏报、医疗边界</t>
  </si>
  <si>
    <t>多家物联网企业</t>
  </si>
  <si>
    <t>采购试点+数据接口</t>
  </si>
  <si>
    <t>TC005</t>
  </si>
  <si>
    <t>方言语音与情绪识别</t>
  </si>
  <si>
    <t>老年语音、表情、情绪状态</t>
  </si>
  <si>
    <t>TRL7-8</t>
  </si>
  <si>
    <t>噪声、方言、误判与伦理</t>
  </si>
  <si>
    <t>近期到中期</t>
  </si>
  <si>
    <t>科大讯飞等</t>
  </si>
  <si>
    <t>联合研发</t>
  </si>
  <si>
    <t>https://www.wuhan.gov.cn/zwgk/xxgk/zfwj/bgtwj/202603/t20260323_2743481.shtml</t>
  </si>
  <si>
    <t>TC006</t>
  </si>
  <si>
    <t>认知层</t>
  </si>
  <si>
    <t>大模型养老智能体</t>
  </si>
  <si>
    <t>问答、提醒、工单、知识与陪伴</t>
  </si>
  <si>
    <t>幻觉、隐私、责任边界</t>
  </si>
  <si>
    <t>近期试点</t>
  </si>
  <si>
    <t>平台与模型企业</t>
  </si>
  <si>
    <t>平台接入+评测</t>
  </si>
  <si>
    <t>TC007</t>
  </si>
  <si>
    <t>具身智能决策</t>
  </si>
  <si>
    <t>多模态感知、任务规划、技能学习</t>
  </si>
  <si>
    <t>TRL4-6</t>
  </si>
  <si>
    <t>低</t>
  </si>
  <si>
    <t>数据、泛化、安全验证</t>
  </si>
  <si>
    <t>中长期</t>
  </si>
  <si>
    <t>优必选、傅利叶、光谷东智等</t>
  </si>
  <si>
    <t>小额投资/联合实验室</t>
  </si>
  <si>
    <t>S17;S22;S26;S31</t>
  </si>
  <si>
    <t>湖北省经信厅、傅利叶智能、优必选、武汉市投资促进局</t>
  </si>
  <si>
    <t>https://jxt.hubei.gov.cn/bmdt/rdjj/202506/t20250605_5680578.shtml
https://www.fftai.cn/products-rehabilitation
https://www.ubtrobot.com/cn/about/company-profile
https://tc.wuhan.gov.cn/tzwh/tzzx/202606/t20260626_2813476.shtml</t>
  </si>
  <si>
    <t>TC008</t>
  </si>
  <si>
    <t>执行层</t>
  </si>
  <si>
    <t>外骨骼步态控制</t>
  </si>
  <si>
    <t>意图识别、自适应助力、柔顺控制</t>
  </si>
  <si>
    <t>TRL7-9</t>
  </si>
  <si>
    <t>舒适性、临床证据、成本</t>
  </si>
  <si>
    <t>傅利叶、程天、沃森拓客</t>
  </si>
  <si>
    <t>示范+股权</t>
  </si>
  <si>
    <t>S22;S23;S30</t>
  </si>
  <si>
    <t>傅利叶智能、程天科技、武汉市科技局</t>
  </si>
  <si>
    <t>https://www.fftai.cn/products-rehabilitation
https://www.roboct.com/
https://kjj.wuhan.gov.cn/wmfw/tzgg/gsxx/202503/P020250320328045232454.pdf</t>
  </si>
  <si>
    <t>TC009</t>
  </si>
  <si>
    <t>移位/翻身/洗浴操作</t>
  </si>
  <si>
    <t>人体接触与重载安全控制</t>
  </si>
  <si>
    <t>TRL4-7</t>
  </si>
  <si>
    <t>极高安全责任、非结构环境</t>
  </si>
  <si>
    <t>呵康等</t>
  </si>
  <si>
    <t>里程碑试点</t>
  </si>
  <si>
    <t>TC010</t>
  </si>
  <si>
    <t>自主移动与群控</t>
  </si>
  <si>
    <t>SLAM、电梯门禁、调度、远程运维</t>
  </si>
  <si>
    <t>TRL9</t>
  </si>
  <si>
    <t>楼宇接口、老人避让策略</t>
  </si>
  <si>
    <t>集采+运营</t>
  </si>
  <si>
    <t>https://tc.wuhan.gov.cn/tzwh/tzzx/202606/t20260626_2813476.shtml
https://www.pudurobotics.com/
https://www.keenon.com/</t>
  </si>
  <si>
    <t>TC011</t>
  </si>
  <si>
    <t>交互层</t>
  </si>
  <si>
    <t>多模态人机交互</t>
  </si>
  <si>
    <t>语音、屏幕、动作、远程视频</t>
  </si>
  <si>
    <t>长期活跃度、适老设计</t>
  </si>
  <si>
    <t>优必选、顶智等</t>
  </si>
  <si>
    <t>https://www.ubtrobot.com/cn/about/company-profile
https://www.toptechim.com/</t>
  </si>
  <si>
    <t>TC012</t>
  </si>
  <si>
    <t>平台层</t>
  </si>
  <si>
    <t>养老机器人操作与接入标准</t>
  </si>
  <si>
    <t>设备身份、API、工单、运维</t>
  </si>
  <si>
    <t>TRL5-7</t>
  </si>
  <si>
    <t>低中</t>
  </si>
  <si>
    <t>厂家封闭、数据标准不一</t>
  </si>
  <si>
    <t>近期建设</t>
  </si>
  <si>
    <t>安养链/方案商</t>
  </si>
  <si>
    <t>制定接口规范</t>
  </si>
  <si>
    <t>TC013</t>
  </si>
  <si>
    <t>数字孪生与服务运营</t>
  </si>
  <si>
    <t>设备/人员/空间协同优化</t>
  </si>
  <si>
    <t>数据治理与ROI</t>
  </si>
  <si>
    <t>平台企业</t>
  </si>
  <si>
    <t>合资运营</t>
  </si>
  <si>
    <t>TC014</t>
  </si>
  <si>
    <t>安全层</t>
  </si>
  <si>
    <t>功能安全与网络安全</t>
  </si>
  <si>
    <t>人机安全、失效保护、数据安全</t>
  </si>
  <si>
    <t>缺少统一养老场景测试基准</t>
  </si>
  <si>
    <t>近期补课</t>
  </si>
  <si>
    <t>检测机构/高校/企业</t>
  </si>
  <si>
    <t>共建评测中心</t>
  </si>
  <si>
    <t>TC015</t>
  </si>
  <si>
    <t>临床层</t>
  </si>
  <si>
    <t>康复效果评估与真实世界证据</t>
  </si>
  <si>
    <t>量表、运动数据、随访与效果支付</t>
  </si>
  <si>
    <t>数据孤岛、样本与合规</t>
  </si>
  <si>
    <t>医院、高校、康复企业</t>
  </si>
  <si>
    <t>联合研究/支付探索</t>
  </si>
  <si>
    <t>S22;S36</t>
  </si>
  <si>
    <t>傅利叶智能、国家卫生健康委</t>
  </si>
  <si>
    <t>https://www.fftai.cn/products-rehabilitation
https://www.nhc.gov.cn/guihuaxxs/c100132/202512/9db8db5488a748c4b1e1068a4a8c4455.shtml</t>
  </si>
  <si>
    <t>TC016</t>
  </si>
  <si>
    <t>感知</t>
  </si>
  <si>
    <t>柔性电子皮肤与六维力觉</t>
  </si>
  <si>
    <t>接触力分布、滑移和抓握安全</t>
  </si>
  <si>
    <t>小批量</t>
  </si>
  <si>
    <t>耐久、漂移和量产一致性</t>
  </si>
  <si>
    <t>2026—2028</t>
  </si>
  <si>
    <t>华威科、坤维科技</t>
  </si>
  <si>
    <t>武汉成果转化/试点</t>
  </si>
  <si>
    <t>TC017</t>
  </si>
  <si>
    <t>生命体征与非接触毫米波</t>
  </si>
  <si>
    <t>呼吸心率、离床、跌倒和睡眠监测</t>
  </si>
  <si>
    <t>中等</t>
  </si>
  <si>
    <t>误报、遮挡和隐私</t>
  </si>
  <si>
    <t>2025—2027</t>
  </si>
  <si>
    <t>奥比中光、雷达企业</t>
  </si>
  <si>
    <t>采购验证/数据闭环</t>
  </si>
  <si>
    <t>S27;S14</t>
  </si>
  <si>
    <t>奥比中光、武汉市人民政府</t>
  </si>
  <si>
    <t>https://big5.sse.com.cn/site/cht/www.sse.com.cn/disclosure/listedinfo/announcement/c/new/2026-04-20/688322_20260420_BAVZ.pdf
https://www.wuhan.gov.cn/zwgk/xxgk/zfwj/bgtwj/202603/t20260323_2743481.shtml</t>
  </si>
  <si>
    <t>TC018</t>
  </si>
  <si>
    <t>交互</t>
  </si>
  <si>
    <t>适老语音与方言识别</t>
  </si>
  <si>
    <t>远场拾音、慢语速、方言和认知友好交互</t>
  </si>
  <si>
    <t>误识别、打扰和幻觉</t>
  </si>
  <si>
    <t>科大讯飞、优必选</t>
  </si>
  <si>
    <t>S68;S69</t>
  </si>
  <si>
    <t>https://www.ubtrobot.com/cn/healthcare/products/smart-companiod-robot/welli
https://www.ubtrobot.com/cn/healthcare/solutions</t>
  </si>
  <si>
    <t>TC019</t>
  </si>
  <si>
    <t>决策</t>
  </si>
  <si>
    <t>VLA具身智能模型</t>
  </si>
  <si>
    <t>视觉—语言—动作一体化任务规划</t>
  </si>
  <si>
    <t>数据稀缺、泛化和安全</t>
  </si>
  <si>
    <t>2027—2030</t>
  </si>
  <si>
    <t>湖北人形机器人创新中心</t>
  </si>
  <si>
    <t>长期储备/数据平台</t>
  </si>
  <si>
    <t>https://kjt.hubei.gov.cn/kjdt/sxkj/wh/202506/t20250617_5694588.shtml
https://jxj.wuhan.gov.cn/xxgk_9/fdzdgknr/ygzdgk/jytabl_01/202511/t20251113_2677076.html</t>
  </si>
  <si>
    <t>TC020</t>
  </si>
  <si>
    <t>控制</t>
  </si>
  <si>
    <t>人体接触柔顺控制</t>
  </si>
  <si>
    <t>阻抗/导纳、限力、急停和冗余制动</t>
  </si>
  <si>
    <t>人体差异和长周期可靠性</t>
  </si>
  <si>
    <t>2025—2028</t>
  </si>
  <si>
    <t>傅利叶、程天、科峰</t>
  </si>
  <si>
    <t>联合测试平台</t>
  </si>
  <si>
    <t>S21;S22;S23</t>
  </si>
  <si>
    <t>科峰传动、傅利叶智能、程天科技</t>
  </si>
  <si>
    <t>https://www.kofon.com.cn/
https://www.fftai.cn/products-rehabilitation
https://www.roboct.com/</t>
  </si>
  <si>
    <t>TC021</t>
  </si>
  <si>
    <t>脑机接口闭环康复</t>
  </si>
  <si>
    <t>EEG意图识别—机器人执行—反馈训练</t>
  </si>
  <si>
    <t>临床证据、信噪比和注册</t>
  </si>
  <si>
    <t>2026—2029</t>
  </si>
  <si>
    <t>司羿、伟思、武汉高校</t>
  </si>
  <si>
    <t>S67;S88</t>
  </si>
  <si>
    <t>司羿智能、伟思医疗</t>
  </si>
  <si>
    <t>https://www.syrebo.com/about-us
https://money.finance.sina.com.cn/corp/view/vCB_AllBulletinDetail.php?id=12217958&amp;stockid=688580</t>
  </si>
  <si>
    <t>TC022</t>
  </si>
  <si>
    <t>肌电/运动意图识别</t>
  </si>
  <si>
    <t>EMG与惯导融合识别助力需求</t>
  </si>
  <si>
    <t>跨个体迁移和佩戴便利</t>
  </si>
  <si>
    <t>外骨骼企业</t>
  </si>
  <si>
    <t>S23;S83</t>
  </si>
  <si>
    <t>程天科技、武汉市科学技术局</t>
  </si>
  <si>
    <t>https://www.roboct.com/
https://kjj.wuhan.gov.cn/wmfw/tzgg/gsxx/202503/P020250320328045232454.pdf</t>
  </si>
  <si>
    <t>TC023</t>
  </si>
  <si>
    <t>云边协同与远程运维</t>
  </si>
  <si>
    <t>设备监控、OTA、故障预测和服务工单</t>
  </si>
  <si>
    <t>网络、数据合规和售后成本</t>
  </si>
  <si>
    <t>普渡、擎朗、安养链</t>
  </si>
  <si>
    <t>联合运营平台</t>
  </si>
  <si>
    <t>S06;S38;S39</t>
  </si>
  <si>
    <t>武汉城投集团、普渡机器人、擎朗智能</t>
  </si>
  <si>
    <t>https://www.zgwhct.cn/hxgn6/
https://www.pudurobotics.com/
https://www.keenon.com/</t>
  </si>
  <si>
    <t>TC024</t>
  </si>
  <si>
    <t>数字孪生与场景仿真</t>
  </si>
  <si>
    <t>养老设施建模、任务仿真和安全验证</t>
  </si>
  <si>
    <t>真实数据和模型可信度</t>
  </si>
  <si>
    <t>创新中心、高校</t>
  </si>
  <si>
    <t>共性技术平台</t>
  </si>
  <si>
    <t>S57</t>
  </si>
  <si>
    <t>武汉市科技创新局</t>
  </si>
  <si>
    <t>https://kjt.hubei.gov.cn/kjdt/sxkj/wh/202506/t20250617_5694588.shtml</t>
  </si>
  <si>
    <t>TC025</t>
  </si>
  <si>
    <t>安全</t>
  </si>
  <si>
    <t>功能安全与风险控制</t>
  </si>
  <si>
    <t>限速限力、碰撞检测、人工接管和日志</t>
  </si>
  <si>
    <t>标准、责任和验证成本</t>
  </si>
  <si>
    <t>整机企业、检测机构</t>
  </si>
  <si>
    <t>测试认证平台</t>
  </si>
  <si>
    <t>https://zwfw.nmpa.gov.cn/web/taskview/11100000MB0341032Y100207202300001
https://english.nmpa.gov.cn/2025-10/14/c_1138492.htm</t>
  </si>
  <si>
    <t>TC026</t>
  </si>
  <si>
    <t>数据</t>
  </si>
  <si>
    <t>隐私计算与边缘脱敏</t>
  </si>
  <si>
    <t>家庭音视频、健康数据最少采集与本地处理</t>
  </si>
  <si>
    <t>多方数据授权和跨系统互联</t>
  </si>
  <si>
    <t>云平台/养老运营方</t>
  </si>
  <si>
    <t>治理规则先行</t>
  </si>
  <si>
    <t>https://www.nhc.gov.cn/guihuaxxs/c100132/202512/9db8db5488a748c4b1e1068a4a8c4455.shtml</t>
  </si>
  <si>
    <t>TC027</t>
  </si>
  <si>
    <t>污物处理与自动清洁消毒</t>
  </si>
  <si>
    <t>抽污、冲洗、烘干、除臭和耗材管理</t>
  </si>
  <si>
    <t>感染控制、穿戴和维护</t>
  </si>
  <si>
    <t>作为、得印、呵康</t>
  </si>
  <si>
    <t>机构验证/本地服务</t>
  </si>
  <si>
    <t>https://zuowei.com/
https://www.deyintech.com/product
https://chinaevercare.com/CompanyProfile/index.aspx</t>
  </si>
  <si>
    <t>TC028</t>
  </si>
  <si>
    <t>运营</t>
  </si>
  <si>
    <t>多机器人调度与任务编排</t>
  </si>
  <si>
    <t>配送、巡检、清洁和陪伴设备协同</t>
  </si>
  <si>
    <t>电梯门禁接口和异常处置</t>
  </si>
  <si>
    <t>擎朗、普渡、优必选</t>
  </si>
  <si>
    <t>养老机构试点</t>
  </si>
  <si>
    <t>S38;S39;S69</t>
  </si>
  <si>
    <t>普渡机器人、擎朗智能、优必选</t>
  </si>
  <si>
    <t>https://www.pudurobotics.com/
https://www.keenon.com/
https://www.ubtrobot.com/cn/healthcare/solutions</t>
  </si>
  <si>
    <t>TC029</t>
  </si>
  <si>
    <t>人因</t>
  </si>
  <si>
    <t>老人接受度与长期使用设计</t>
  </si>
  <si>
    <t>易学、可恢复、低打扰、家庭协同</t>
  </si>
  <si>
    <t>长期留存证据不足</t>
  </si>
  <si>
    <t>养老机构、设计团队</t>
  </si>
  <si>
    <t>用户研究/试点指标</t>
  </si>
  <si>
    <t>TC030</t>
  </si>
  <si>
    <t>支付</t>
  </si>
  <si>
    <t>按效付费与设备租赁计量</t>
  </si>
  <si>
    <t>设备在线率、节省工时、服务次数和结算</t>
  </si>
  <si>
    <t>合同口径、核算和回款</t>
  </si>
  <si>
    <t>城投平台、租赁机构</t>
  </si>
  <si>
    <t>金融产品试点</t>
  </si>
  <si>
    <t>S52;S64</t>
  </si>
  <si>
    <t>国家医疗保障局等八部门、武汉市人民政府</t>
  </si>
  <si>
    <t>https://www.nhsa.gov.cn/art/2026/3/26/art_53_20040.html
https://www.wuhan.gov.cn/zwgk/xxgk/zfwj/gfxwj/202304/t20230417_2187075.shtml</t>
  </si>
  <si>
    <t>区域与产业集群增强数据库</t>
  </si>
  <si>
    <t>武汉资源分为城投公开资源、武汉市外部资源和都市圈协同资源；三者不混同权属。</t>
  </si>
  <si>
    <t>区域层级</t>
  </si>
  <si>
    <t>城市/区域</t>
  </si>
  <si>
    <t>优势方向</t>
  </si>
  <si>
    <t>代表资源</t>
  </si>
  <si>
    <t>建议功能分工</t>
  </si>
  <si>
    <t>RG001</t>
  </si>
  <si>
    <t>核心布局区</t>
  </si>
  <si>
    <t>武汉—光谷</t>
  </si>
  <si>
    <t>人形/服务机器人整机、3D视觉、AI、高校科研、医疗康复</t>
  </si>
  <si>
    <t>机器人谷、湖北人形机器人创新中心、光谷东智、海沁医疗、高校院所</t>
  </si>
  <si>
    <t>将康养场景验证、区域总部和研发平台设在武汉</t>
  </si>
  <si>
    <t>S16;S17;S31;S32</t>
  </si>
  <si>
    <t>武汉市人民政府、湖北省经信厅、武汉市投资促进局、海沁医疗</t>
  </si>
  <si>
    <t>https://www.wuhan.gov.cn/sy/whyw/202506/t20250623_2598697.shtml
https://jxt.hubei.gov.cn/bmdt/rdjj/202506/t20250605_5680578.shtml
https://tc.wuhan.gov.cn/tzwh/tzzx/202606/t20260626_2813476.shtml
https://www.epmomedical.com/</t>
  </si>
  <si>
    <t>RG002</t>
  </si>
  <si>
    <t>武汉—经开区/汉江湾</t>
  </si>
  <si>
    <t>机器人制造、汽车供应链、场景与城市服务</t>
  </si>
  <si>
    <t>南太子湖、汉江湾机器人集聚区</t>
  </si>
  <si>
    <t>承接中试、组装与城市运营机器人适配</t>
  </si>
  <si>
    <t>S16</t>
  </si>
  <si>
    <t>https://www.wuhan.gov.cn/sy/whyw/202506/t20250623_2598697.shtml</t>
  </si>
  <si>
    <t>RG003</t>
  </si>
  <si>
    <t>协同承载区</t>
  </si>
  <si>
    <t>黄冈</t>
  </si>
  <si>
    <t>精密传动与人形机器人关节</t>
  </si>
  <si>
    <t>科峰传动、省机器人技术创新中心相关资源</t>
  </si>
  <si>
    <t>承接核心零部件扩产和供应链配套</t>
  </si>
  <si>
    <t>https://www.kofon.com.cn/</t>
  </si>
  <si>
    <t>RG004</t>
  </si>
  <si>
    <t>黄石</t>
  </si>
  <si>
    <t>机器人整机与零部件招商、工业场景</t>
  </si>
  <si>
    <t>到2027年百家企业/百亿产值目标（地方行动计划）</t>
  </si>
  <si>
    <t>承接规模制造、成本型供应链和园区联动</t>
  </si>
  <si>
    <t>S20</t>
  </si>
  <si>
    <t>湖北省经信厅</t>
  </si>
  <si>
    <t>https://jxt.hubei.gov.cn/bmdt/szgz/202510/t20251020_5794283.shtml</t>
  </si>
  <si>
    <t>RG005</t>
  </si>
  <si>
    <t>孝感</t>
  </si>
  <si>
    <t>医疗康复应用与制造承接</t>
  </si>
  <si>
    <t>医疗机构和武汉都市圈区位</t>
  </si>
  <si>
    <t>承接康复示范与轻制造；具体载体需内部/地方核实</t>
  </si>
  <si>
    <t>S15</t>
  </si>
  <si>
    <t>湖北省人民政府</t>
  </si>
  <si>
    <t>https://www.hubei.gov.cn/zwgk/hbyw/hbywqb/202604/t20260423_5920799.shtml</t>
  </si>
  <si>
    <t>RG006</t>
  </si>
  <si>
    <t>咸宁</t>
  </si>
  <si>
    <t>康养、温泉及中医康复场景</t>
  </si>
  <si>
    <t>康养文旅与医疗机构</t>
  </si>
  <si>
    <t>承接康养示范、短期康复与消费型场景</t>
  </si>
  <si>
    <t>S15;S42</t>
  </si>
  <si>
    <t>湖北省人民政府、武汉市科技局</t>
  </si>
  <si>
    <t>https://www.hubei.gov.cn/zwgk/hbyw/hbywqb/202604/t20260423_5920799.shtml
https://kjj.wuhan.gov.cn/xwzx_8/kjspxw/202604/t20260409_2750862.html</t>
  </si>
  <si>
    <t>RG007</t>
  </si>
  <si>
    <t>外部导入区</t>
  </si>
  <si>
    <t>上海</t>
  </si>
  <si>
    <t>康复机器人、服务机器人、AI与资本</t>
  </si>
  <si>
    <t>傅利叶、邦邦、擎朗等</t>
  </si>
  <si>
    <t>重点导入康复整机、机构运营方案和区域总部</t>
  </si>
  <si>
    <t>S22;S24;S39</t>
  </si>
  <si>
    <t>傅利叶智能、邦邦机器人、擎朗智能</t>
  </si>
  <si>
    <t>https://www.fftai.cn/products-rehabilitation
https://bangbangrobotics.com/about
https://www.keenon.com/</t>
  </si>
  <si>
    <t>RG008</t>
  </si>
  <si>
    <t>深圳/广州</t>
  </si>
  <si>
    <t>人形、护理、陪伴、服务机器人和供应链</t>
  </si>
  <si>
    <t>优必选、普渡、呵康、顶智等</t>
  </si>
  <si>
    <t>导入成熟产品和护理/陪伴试点团队</t>
  </si>
  <si>
    <t>S26;S38;S40;S41</t>
  </si>
  <si>
    <t>优必选、普渡机器人、顶智智造、呵康科技</t>
  </si>
  <si>
    <t>https://www.ubtrobot.com/cn/about/company-profile
https://www.pudurobotics.com/
https://www.toptechim.com/
https://www.chinaevercare.com/index.aspx</t>
  </si>
  <si>
    <t>RG009</t>
  </si>
  <si>
    <t>杭州</t>
  </si>
  <si>
    <t>外骨骼、具身智能与数字平台</t>
  </si>
  <si>
    <t>程天、宇树及AI生态</t>
  </si>
  <si>
    <t>导入外骨骼、具身平台与成果转化团队</t>
  </si>
  <si>
    <t>RG010</t>
  </si>
  <si>
    <t>苏州/南京</t>
  </si>
  <si>
    <t>医疗器械、机器人零部件和制造</t>
  </si>
  <si>
    <t>医疗器械产业集群、机器人供应链</t>
  </si>
  <si>
    <t>导入注册制造与精密零部件项目</t>
  </si>
  <si>
    <t>RG011</t>
  </si>
  <si>
    <t>北京</t>
  </si>
  <si>
    <t>大模型、医疗科研与政策资源</t>
  </si>
  <si>
    <t>高校院所、模型公司、医疗机构</t>
  </si>
  <si>
    <t>共建算法/评测/临床合作，不宜以重制造为主</t>
  </si>
  <si>
    <t>S02;S14</t>
  </si>
  <si>
    <t>工业和信息化部等、武汉市人民政府</t>
  </si>
  <si>
    <t>https://www.ncsti.gov.cn/kjdt/tzgg/202506/t20250610_207396.html
https://www.wuhan.gov.cn/zwgk/xxgk/zfwj/bgtwj/202603/t20260323_2743481.shtml</t>
  </si>
  <si>
    <t>RG012</t>
  </si>
  <si>
    <t>国际对标</t>
  </si>
  <si>
    <t>日本/德国/以色列/美国</t>
  </si>
  <si>
    <t>护理标准、康复机器人、租赁支付与临床证据</t>
  </si>
  <si>
    <t>CYBERDYNE、PARO、Hocoma、ReWalk/Ekso等</t>
  </si>
  <si>
    <t>技术/商业模式对标与联合研究，跨境准入单独评估</t>
  </si>
  <si>
    <t>RG013</t>
  </si>
  <si>
    <t>武汉—汉阳康养与机构网络</t>
  </si>
  <si>
    <t>康养运营、养老设施、安养链平台</t>
  </si>
  <si>
    <t>武汉康养集团、安养链、社区养老设施</t>
  </si>
  <si>
    <t>养老场景验证、运营平台和区域复制</t>
  </si>
  <si>
    <t>S60;S61;S63</t>
  </si>
  <si>
    <t>武汉城投集团、武汉市人民政府、武汉市住房和城市更新局</t>
  </si>
  <si>
    <t>https://www.zgwhct.cn/hxgn6/
https://www.wuhan.gov.cn/sy/whyw/202402/t20240229_2365503.shtml
https://zgj.wuhan.gov.cn/ztzl/wgshcsgx/zcwj_csgx/202607/t20260702_2815959.shtml</t>
  </si>
  <si>
    <t>RG014</t>
  </si>
  <si>
    <t>武汉—高校与医院集群</t>
  </si>
  <si>
    <t>康复医学、脑机接口、机械与人工智能</t>
  </si>
  <si>
    <t>华中科技大学、武汉大学、武汉理工大学及医疗机构</t>
  </si>
  <si>
    <t>临床/场景定义、成果转化和人才供给</t>
  </si>
  <si>
    <t>S19;S55;S77</t>
  </si>
  <si>
    <t>武汉理工大学、武汉市人民政府、湖北省卫生健康委员会</t>
  </si>
  <si>
    <t>https://wutinfo.whut.edu.cn/yjspy/dsjs/202401/t20240130_579369.shtml
https://www.wuhan.gov.cn/ztzl/25zt/rgzncy/zcwj_94757/202504/t20250421_2570246.shtml
https://wjw.hubei.gov.cn/zfxxgk/zc/gkwj/ybxwj/202507/t20250725_5730850.shtml</t>
  </si>
  <si>
    <t>RG015</t>
  </si>
  <si>
    <t>鄂州</t>
  </si>
  <si>
    <t>电子皮肤、近武汉制造协同</t>
  </si>
  <si>
    <t>华威科等产业链资源</t>
  </si>
  <si>
    <t>触觉传感制造和中试配套</t>
  </si>
  <si>
    <t>RG016</t>
  </si>
  <si>
    <t>襄阳</t>
  </si>
  <si>
    <t>装备制造、汽车和康复场景</t>
  </si>
  <si>
    <t>湖北文理学院及制造基础</t>
  </si>
  <si>
    <t>整机装配、场景协同和都市圈外复制</t>
  </si>
  <si>
    <t>RG017</t>
  </si>
  <si>
    <t>荆州/荆门</t>
  </si>
  <si>
    <t>养老服务与制造成本优势</t>
  </si>
  <si>
    <t>地方养老机构与装备制造资源</t>
  </si>
  <si>
    <t>生产承载和县域场景验证</t>
  </si>
  <si>
    <t>S56</t>
  </si>
  <si>
    <t>RG018</t>
  </si>
  <si>
    <t>青岛</t>
  </si>
  <si>
    <t>家电、居家机器人和康复设备</t>
  </si>
  <si>
    <t>海尔机器人、泽普医疗</t>
  </si>
  <si>
    <t>居家养老生态和制造协同导入</t>
  </si>
  <si>
    <t>RG019</t>
  </si>
  <si>
    <t>合肥</t>
  </si>
  <si>
    <t>科研、智能制造和辅助器具</t>
  </si>
  <si>
    <t>中科大先进院、金百合医疗</t>
  </si>
  <si>
    <t>智能轮椅和关键技术导入</t>
  </si>
  <si>
    <t>RG020</t>
  </si>
  <si>
    <t>郑州/安阳</t>
  </si>
  <si>
    <t>康复医疗器械产业</t>
  </si>
  <si>
    <t>翔宇医疗及医疗器械产业链</t>
  </si>
  <si>
    <t>康复设备渠道与制造合作</t>
  </si>
  <si>
    <t>S89</t>
  </si>
  <si>
    <t>https://www.xyyl.com/news_details/401.html</t>
  </si>
  <si>
    <t>RG021</t>
  </si>
  <si>
    <t>成都/重庆</t>
  </si>
  <si>
    <t>康复辅具、养老服务与西部市场</t>
  </si>
  <si>
    <t>行走科技、康养运营机构</t>
  </si>
  <si>
    <t>外骨骼技术与区域复制</t>
  </si>
  <si>
    <t>RG022</t>
  </si>
  <si>
    <t>新加坡/北欧</t>
  </si>
  <si>
    <t>养老机构机器人运营、标准与租赁</t>
  </si>
  <si>
    <t>科研机构、养老运营商</t>
  </si>
  <si>
    <t>引入运营指标和人因评估方法</t>
  </si>
  <si>
    <t>养老机器人相关政策增强清单</t>
  </si>
  <si>
    <t>目录入选、试点入选和政策支持均不等同于收入或投资价值；申报条件需按项目逐项复核。</t>
  </si>
  <si>
    <t>时间</t>
  </si>
  <si>
    <t>政策名称</t>
  </si>
  <si>
    <t>核心内容</t>
  </si>
  <si>
    <t>影响环节</t>
  </si>
  <si>
    <t>图中显示来源</t>
  </si>
  <si>
    <t>PO001</t>
  </si>
  <si>
    <t>国家</t>
  </si>
  <si>
    <t>2024-01</t>
  </si>
  <si>
    <t>国务院办公厅</t>
  </si>
  <si>
    <t>关于发展银发经济增进老年人福祉的意见</t>
  </si>
  <si>
    <t>发展智能护理、家庭服务、健康监测等产品，完善金融支持</t>
  </si>
  <si>
    <t>产业方向、基金投资、场景采购</t>
  </si>
  <si>
    <t>建立银发科技专项投资与场景清单</t>
  </si>
  <si>
    <t>原始记录</t>
  </si>
  <si>
    <t>S01</t>
  </si>
  <si>
    <t>https://chinajob.mohrss.gov.cn/h5/c/2024-01-16/394987.shtml</t>
  </si>
  <si>
    <t>PO002</t>
  </si>
  <si>
    <t>2025-06</t>
  </si>
  <si>
    <t>工信部等</t>
  </si>
  <si>
    <t>智能养老服务机器人结对攻关与场景应用试点</t>
  </si>
  <si>
    <t>2025—2027年围绕居家、社区、机构开展产品与场景攻关</t>
  </si>
  <si>
    <t>示范项目、产品成熟度与合规</t>
  </si>
  <si>
    <t>申报国家试点，形成企业+机构+高校联合体</t>
  </si>
  <si>
    <t>PO003</t>
  </si>
  <si>
    <t>2025-02</t>
  </si>
  <si>
    <t>国家发展改革委等</t>
  </si>
  <si>
    <t>促进普惠养老服务高质量发展相关通知</t>
  </si>
  <si>
    <t>强化普惠养老供给和项目建设</t>
  </si>
  <si>
    <t>项目融资和场景扩容</t>
  </si>
  <si>
    <t>将机器人嵌入新增养老设施建设标准</t>
  </si>
  <si>
    <t>S46</t>
  </si>
  <si>
    <t>https://www.ndrc.gov.cn/xxgk/zcfb/tz/202502/t20250228_1396346.html</t>
  </si>
  <si>
    <t>PO004</t>
  </si>
  <si>
    <t>湖北</t>
  </si>
  <si>
    <t>湖北省</t>
  </si>
  <si>
    <t>‘十五五’规划公开信息</t>
  </si>
  <si>
    <t>推动智慧养老机器人、智能感知、银发经济园区和武汉都市圈协同</t>
  </si>
  <si>
    <t>省域协同、园区与示范</t>
  </si>
  <si>
    <t>争取省级产业链和试点资金</t>
  </si>
  <si>
    <t>PO005</t>
  </si>
  <si>
    <t>湖北人形机器人创新中心建设</t>
  </si>
  <si>
    <t>建设开放共享、研发验证、产业孵化和招商平台</t>
  </si>
  <si>
    <t>研发、中试、招引</t>
  </si>
  <si>
    <t>共建康养机器人测试与数据专区</t>
  </si>
  <si>
    <t>S17</t>
  </si>
  <si>
    <t>https://jxt.hubei.gov.cn/bmdt/rdjj/202506/t20250605_5680578.shtml</t>
  </si>
  <si>
    <t>PO006</t>
  </si>
  <si>
    <t>武汉</t>
  </si>
  <si>
    <t>2026-03</t>
  </si>
  <si>
    <t>武汉市‘人工智能+’行动方案</t>
  </si>
  <si>
    <t>到2028年人工智能产业规模超2000亿元、企业超1500家，布局智慧养老与人形机器人场景</t>
  </si>
  <si>
    <t>AI平台、场景与企业导入</t>
  </si>
  <si>
    <t>将养老机器人列为城市级AI场景包</t>
  </si>
  <si>
    <t>PO007</t>
  </si>
  <si>
    <t>2025-03</t>
  </si>
  <si>
    <t>养老服务设施建设三年行动方案（2025—2027年）</t>
  </si>
  <si>
    <t>不少于100个项目、新增1万张床位、建设/改造不少于1000个社区和助餐设施</t>
  </si>
  <si>
    <t>设备集采、示范规模与渠道</t>
  </si>
  <si>
    <t>将机器人接口和试点空间纳入设施建设</t>
  </si>
  <si>
    <t>S08</t>
  </si>
  <si>
    <t>https://www.wuhan.gov.cn/zwgk/xxgk/zfwj/bgtwj/202503/t20250321_2555479.shtml</t>
  </si>
  <si>
    <t>PO008</t>
  </si>
  <si>
    <t>2021-12</t>
  </si>
  <si>
    <t>康复辅助器具产业国家综合创新试点实施方案</t>
  </si>
  <si>
    <t>建设产业园、发展智能辅具和康复机器人、深化医养融合</t>
  </si>
  <si>
    <t>康复机器人落地</t>
  </si>
  <si>
    <t>重启/衔接试点成果，建设康复机器人示范中心</t>
  </si>
  <si>
    <t>S13</t>
  </si>
  <si>
    <t>https://www.wuhan.gov.cn/zwgk/xxgk/zfwj/bgtwj/202112/t20211203_1865392.shtml</t>
  </si>
  <si>
    <t>PO009</t>
  </si>
  <si>
    <t>武汉市</t>
  </si>
  <si>
    <t>武汉市养老服务条例相关信息</t>
  </si>
  <si>
    <t>完善养老服务体系与规范治理</t>
  </si>
  <si>
    <t>合规、服务质量、数据和责任</t>
  </si>
  <si>
    <t>建立机器人使用告知、培训和事故上报流程</t>
  </si>
  <si>
    <t>S37</t>
  </si>
  <si>
    <t>武汉市民政局</t>
  </si>
  <si>
    <t>https://mzj.wuhan.gov.cn/mzdt_912/mzyw/202506/t20250626_2601306.shtml</t>
  </si>
  <si>
    <t>PO010</t>
  </si>
  <si>
    <t>2024-10</t>
  </si>
  <si>
    <t>武汉基金、江城基金政策</t>
  </si>
  <si>
    <t>形成覆盖企业全生命周期的政府投资基金体系</t>
  </si>
  <si>
    <t>基金协同与项目投资</t>
  </si>
  <si>
    <t>设计养老机器人子基金/直投联动机制</t>
  </si>
  <si>
    <t>S10</t>
  </si>
  <si>
    <t>https://tc.wuhan.gov.cn/zfxxgk/zc/gfxwj/202410/t20241009_2465274.shtml</t>
  </si>
  <si>
    <t>PO011</t>
  </si>
  <si>
    <t>武汉市/东湖高新区</t>
  </si>
  <si>
    <t>人形机器人产业支持政策</t>
  </si>
  <si>
    <t>支持空间、场景和产业名园等，公开信息含最高奖励与租金支持</t>
  </si>
  <si>
    <t>企业招引、中试和园区</t>
  </si>
  <si>
    <t>用于外地企业区域总部/中试基地招引</t>
  </si>
  <si>
    <t>S18</t>
  </si>
  <si>
    <t>湖北省科技厅</t>
  </si>
  <si>
    <t>PO012</t>
  </si>
  <si>
    <t>2025-10</t>
  </si>
  <si>
    <t>黄石市</t>
  </si>
  <si>
    <t>机器人产业行动计划公开信息</t>
  </si>
  <si>
    <t>到2027年形成百家企业、百亿产值等目标</t>
  </si>
  <si>
    <t>制造承载与园区协同</t>
  </si>
  <si>
    <t>共建武汉研发+黄石制造项目库</t>
  </si>
  <si>
    <t>PO013</t>
  </si>
  <si>
    <t>国务院</t>
  </si>
  <si>
    <t>“十四五”国家老龄事业发展和养老服务体系规划</t>
  </si>
  <si>
    <t>发展智能假肢、机器人等康复护理和安全监护产品</t>
  </si>
  <si>
    <t>养老需求/产品</t>
  </si>
  <si>
    <t>作为国家需求基线，关注失能照护和居家社区机构协同</t>
  </si>
  <si>
    <t>新增/精确化</t>
  </si>
  <si>
    <t>政策事实</t>
  </si>
  <si>
    <t>S107</t>
  </si>
  <si>
    <t>https://www.gov.cn/zhengce/content/2022-02/21/content_5674844.htm</t>
  </si>
  <si>
    <t>PO014</t>
  </si>
  <si>
    <t>工业和信息化部等17部门</t>
  </si>
  <si>
    <t>“机器人+”应用行动实施方案</t>
  </si>
  <si>
    <t>将养老服务列为重点应用领域，推动外骨骼和养老护理机器人验证</t>
  </si>
  <si>
    <t>全产业链/场景</t>
  </si>
  <si>
    <t>对接场景开放和联合申报</t>
  </si>
  <si>
    <t>S92</t>
  </si>
  <si>
    <t>https://www.gov.cn/zhengce/zhengceku/2023-01/19/5738112/files/61a45b6de7f34f4197c4d6fe1b9106fb.pdf</t>
  </si>
  <si>
    <t>PO015</t>
  </si>
  <si>
    <t>工业和信息化部</t>
  </si>
  <si>
    <t>人形机器人创新发展指导意见</t>
  </si>
  <si>
    <t>推动人形机器人关键技术、整机和场景应用</t>
  </si>
  <si>
    <t>人形/具身智能</t>
  </si>
  <si>
    <t>养老仅作中长期储备，优先低风险任务</t>
  </si>
  <si>
    <t>S93</t>
  </si>
  <si>
    <t>https://www.miit.gov.cn/jgsj/kjs/gzdt/art/2023/art_6144679b0ee54276b594d65435f29d30.html</t>
  </si>
  <si>
    <t>PO016</t>
  </si>
  <si>
    <t>工业和信息化部等七部门</t>
  </si>
  <si>
    <t>关于推动未来产业创新发展的实施意见</t>
  </si>
  <si>
    <t>将人形机器人、脑机接口等纳入未来产业培育</t>
  </si>
  <si>
    <t>技术/产业化</t>
  </si>
  <si>
    <t>布局概念验证和中试平台</t>
  </si>
  <si>
    <t>S94</t>
  </si>
  <si>
    <t>https://wap.miit.gov.cn/zwgk/zcwj/wjfb/yj/art/2024/art_ad15b0f08a714fd8888c0e31468b8c54.html</t>
  </si>
  <si>
    <t>PO017</t>
  </si>
  <si>
    <t>推广智能护理、家庭服务机器人及智能康复辅具</t>
  </si>
  <si>
    <t>产品/场景/消费</t>
  </si>
  <si>
    <t>形成养老场景首购首用机制</t>
  </si>
  <si>
    <t>PO018</t>
  </si>
  <si>
    <t>中共中央、国务院</t>
  </si>
  <si>
    <t>关于深化养老服务改革发展的意见</t>
  </si>
  <si>
    <t>推动人形机器人、脑机接口和人工智能技术产品研发应用</t>
  </si>
  <si>
    <t>技术/养老改革</t>
  </si>
  <si>
    <t>联合高校、医院和养老机构定义任务</t>
  </si>
  <si>
    <t>S95</t>
  </si>
  <si>
    <t>https://www.beijing.gov.cn/zhengce/gwywj/202501/t20250108_3983528.html</t>
  </si>
  <si>
    <t>PO019</t>
  </si>
  <si>
    <t>2024年老年用品产品推广目录</t>
  </si>
  <si>
    <t>通过目录遴选推广老年用品和相关机器人产品</t>
  </si>
  <si>
    <t>产品推广</t>
  </si>
  <si>
    <t>目录入选只代表推广资格，不代表收入</t>
  </si>
  <si>
    <t>S96</t>
  </si>
  <si>
    <t>https://www.miit.gov.cn/cms_files/filemanager/1226211233/attach/20249/7ada1ac25bb84842bfb031b610ed4354.pdf</t>
  </si>
  <si>
    <t>PO020</t>
  </si>
  <si>
    <t>智慧健康养老产品及服务推广目录申报通知</t>
  </si>
  <si>
    <t>明确家庭服务机器人、监护和辅助器具分类及申报条件</t>
  </si>
  <si>
    <t>产品/准入</t>
  </si>
  <si>
    <t>协助武汉企业申报目录</t>
  </si>
  <si>
    <t>S97</t>
  </si>
  <si>
    <t>工业和信息化部、民政部、国家卫生健康委员会</t>
  </si>
  <si>
    <t>https://wap.miit.gov.cn/jgsj/dzs/wjfb/art/2025/art_cd3b790e80fa43f991e2c26beead8d87.html</t>
  </si>
  <si>
    <t>PO021</t>
  </si>
  <si>
    <t>智慧健康养老产品及服务推广目录（2024年版）</t>
  </si>
  <si>
    <t>公布智慧健康养老产品与服务目录</t>
  </si>
  <si>
    <t>用于建立产品池，不替代商业尽调</t>
  </si>
  <si>
    <t>PO022</t>
  </si>
  <si>
    <t>工业和信息化部办公厅、民政部办公厅</t>
  </si>
  <si>
    <t>智能养老服务机器人结对攻关与场景应用试点通知</t>
  </si>
  <si>
    <t>面向居家、社区、机构开展研用结对验证</t>
  </si>
  <si>
    <t>场景/项目</t>
  </si>
  <si>
    <t>武汉建立常态化试点申报机制</t>
  </si>
  <si>
    <t>PO023</t>
  </si>
  <si>
    <t>智能养老服务机器人试点项目名单</t>
  </si>
  <si>
    <t>公布32项国家试点项目</t>
  </si>
  <si>
    <t>项目/企业</t>
  </si>
  <si>
    <t>从名单筛选外部企业导入与湖北项目协同</t>
  </si>
  <si>
    <t>S47;S48</t>
  </si>
  <si>
    <t>https://www.miit.gov.cn/jgsj/zbys/wjfb/art/2025/art_cabcb5c6939e49d2b11eadd6c160d1c1.html
https://www.miit.gov.cn/cms_files/filemanager/1226211233/attach/20259/9abb9844496942e9bbd91b411b5b38ff.pdf</t>
  </si>
  <si>
    <t>PO024</t>
  </si>
  <si>
    <t>支持高端医疗器械创新发展全生命周期监管措施</t>
  </si>
  <si>
    <t>将医疗机器人列入高端医疗器械重点领域</t>
  </si>
  <si>
    <t>监管/注册</t>
  </si>
  <si>
    <t>提前开展分类界定和注册沟通</t>
  </si>
  <si>
    <t>S54</t>
  </si>
  <si>
    <t>https://english.nmpa.gov.cn/2025-10/14/c_1138492.htm</t>
  </si>
  <si>
    <t>PO025</t>
  </si>
  <si>
    <t>国家/标准</t>
  </si>
  <si>
    <t>国际电工委员会/国家市场监督管理总局</t>
  </si>
  <si>
    <t>IEC 63310:2025主动辅助生活机器人功能性能准则</t>
  </si>
  <si>
    <t>形成互联家庭养老机器人性能评价参考</t>
  </si>
  <si>
    <t>标准/测试</t>
  </si>
  <si>
    <t>建设测试指标库；不等同中国强制认证</t>
  </si>
  <si>
    <t>S98</t>
  </si>
  <si>
    <t>国家市场监督管理总局</t>
  </si>
  <si>
    <t>https://www.samr.gov.cn/xw/sj/art/2025/art_f0cb867fe44549589f7c3081694aaa1f.html</t>
  </si>
  <si>
    <t>PO026</t>
  </si>
  <si>
    <t>待核</t>
  </si>
  <si>
    <t>民政部</t>
  </si>
  <si>
    <t>民政科技创新相关政策线索（正式文号待核）</t>
  </si>
  <si>
    <t>关注智能养老服务机器人研发与应用，正式表述需回查原文</t>
  </si>
  <si>
    <t>科技/民政场景</t>
  </si>
  <si>
    <t>仅作检索线索，不作为申报依据</t>
  </si>
  <si>
    <t>S99</t>
  </si>
  <si>
    <t>https://www.mca.gov.cn/</t>
  </si>
  <si>
    <t>PO027</t>
  </si>
  <si>
    <t>国家医疗保障局等八部门</t>
  </si>
  <si>
    <t>加快建立长期护理保险制度实施方案</t>
  </si>
  <si>
    <t>建立长期护理保险待遇、筹资和服务体系</t>
  </si>
  <si>
    <t>支付/护理服务</t>
  </si>
  <si>
    <t>关注设备是否能嵌入服务项目，不能假设直接报销</t>
  </si>
  <si>
    <t>S52</t>
  </si>
  <si>
    <t>https://www.nhsa.gov.cn/art/2026/3/26/art_53_20040.html</t>
  </si>
  <si>
    <t>PO028</t>
  </si>
  <si>
    <t>工业和信息化部、国务院国资委</t>
  </si>
  <si>
    <t>人形机器人与具身智能实景实训专项行动</t>
  </si>
  <si>
    <t>面向医疗康养等场景形成实景实训和规模部署闭环</t>
  </si>
  <si>
    <t>具身智能/场景</t>
  </si>
  <si>
    <t>争取武汉康养场景纳入实训空间</t>
  </si>
  <si>
    <t>S100</t>
  </si>
  <si>
    <t>https://www.hubei.gov.cn/szyw/202606/t20260610_5955175.shtml</t>
  </si>
  <si>
    <t>PO029</t>
  </si>
  <si>
    <t>工业和信息化部等三部门</t>
  </si>
  <si>
    <t>智慧健康养老产品及服务推广目录（2020年版）</t>
  </si>
  <si>
    <t>建立早期智慧健康养老产品推广机制</t>
  </si>
  <si>
    <t>产品目录</t>
  </si>
  <si>
    <t>用于识别早期企业，不代表当前持续经营</t>
  </si>
  <si>
    <t>S108</t>
  </si>
  <si>
    <t>https://www.miit.gov.cn/gyhxxhb/jgsj/dzxxs/xfdz/art/2020/art_8a2a936138a94178ae41376689102a06.html</t>
  </si>
  <si>
    <t>PO030</t>
  </si>
  <si>
    <t>智慧健康养老产品及服务推广目录（2022年版）</t>
  </si>
  <si>
    <t>更新智慧健康养老产品和服务目录</t>
  </si>
  <si>
    <t>核对产品迭代和企业存续</t>
  </si>
  <si>
    <t>S109</t>
  </si>
  <si>
    <t>https://www.miit.gov.cn/threestrategy/dtzx/zpz/art/2023/art_4cdb23a1384443d1be12a8c2df0c5241.html</t>
  </si>
  <si>
    <t>PO031</t>
  </si>
  <si>
    <t>湖北省加快建设多元化养老服务体系实施方案</t>
  </si>
  <si>
    <t>规划智能机器人、康复辅具和银发经济产业园</t>
  </si>
  <si>
    <t>养老/园区/场景</t>
  </si>
  <si>
    <t>对接省级园区和示范场景</t>
  </si>
  <si>
    <t>S76</t>
  </si>
  <si>
    <t>https://gdj.hubei.gov.cn/zfxxgk/fdzdgknr/gysyjs/ggwhfw/zcwj/202508/t20250812_5744582.shtml</t>
  </si>
  <si>
    <t>PO032</t>
  </si>
  <si>
    <t>湖北省卫生健康委员会</t>
  </si>
  <si>
    <t>湖北省人工智能在医疗卫生领域应用实施方案（2025—2027年）</t>
  </si>
  <si>
    <t>推动公立医疗机构AI场景全覆盖和康复随访</t>
  </si>
  <si>
    <t>医疗/数据</t>
  </si>
  <si>
    <t>将康复机器人接入医疗AI场景</t>
  </si>
  <si>
    <t>S77</t>
  </si>
  <si>
    <t>https://wjw.hubei.gov.cn/zfxxgk/zc/gkwj/ybxwj/202507/t20250725_5730850.shtml</t>
  </si>
  <si>
    <t>PO033</t>
  </si>
  <si>
    <t>湖北省人民政府办公厅</t>
  </si>
  <si>
    <t>湖北省加快场景培育与应用实施方案</t>
  </si>
  <si>
    <t>开放医疗、康复、养老助残等场景</t>
  </si>
  <si>
    <t>场景开放</t>
  </si>
  <si>
    <t>建立机器人场景机会清单</t>
  </si>
  <si>
    <t>S78</t>
  </si>
  <si>
    <t>https://jxt.hubei.gov.cn/bmdt/rdjj/202512/t20251216_5835549.shtml</t>
  </si>
  <si>
    <t>PO034</t>
  </si>
  <si>
    <t>人形机器人突破性关键技术征集</t>
  </si>
  <si>
    <t>征集整机、算法、传感和关节等关键技术</t>
  </si>
  <si>
    <t>技术/成果转化</t>
  </si>
  <si>
    <t>组织武汉企业和高校申报</t>
  </si>
  <si>
    <t>S101</t>
  </si>
  <si>
    <t>https://kjt.hubei.gov.cn/kjdt/tzgg/202508/t20250805_5738540.shtml</t>
  </si>
  <si>
    <t>PO035</t>
  </si>
  <si>
    <t>湖北省“十五五”规划纲要</t>
  </si>
  <si>
    <t>推广智能养老服务机器人并布局银发经济产业园</t>
  </si>
  <si>
    <t>规划/园区</t>
  </si>
  <si>
    <t>形成武汉研发资本+周边制造场景分工</t>
  </si>
  <si>
    <t>PO036</t>
  </si>
  <si>
    <t>湖北省商务厅</t>
  </si>
  <si>
    <t>消费品以旧换新新增品类补贴政策</t>
  </si>
  <si>
    <t>智能服务机器人等品类按售价15%补贴，单件上限1500元</t>
  </si>
  <si>
    <t>消费/居家</t>
  </si>
  <si>
    <t>仅适用于目录品类，不能直接视为养老机器人补贴</t>
  </si>
  <si>
    <t>S79</t>
  </si>
  <si>
    <t>https://swt.hubei.gov.cn/zfxxgk/zc/qtzdgkwj/202604/t20260430_5926997.shtml</t>
  </si>
  <si>
    <t>PO037</t>
  </si>
  <si>
    <t>武汉市2025年人工智能产业发展行动方案</t>
  </si>
  <si>
    <t>推动人形机器人产业化和AI医疗器械研发应用</t>
  </si>
  <si>
    <t>AI/医疗/人形</t>
  </si>
  <si>
    <t>争取AI医疗和具身智能项目落地</t>
  </si>
  <si>
    <t>S55</t>
  </si>
  <si>
    <t>https://www.wuhan.gov.cn/ztzl/25zt/rgzncy/zcwj_94757/202504/t20250421_2570246.shtml</t>
  </si>
  <si>
    <t>PO038</t>
  </si>
  <si>
    <t>武汉市加快人形机器人产业发展行动方案（2025—2027年）</t>
  </si>
  <si>
    <t>实施平台、场景、整机、部件和生态五大行动</t>
  </si>
  <si>
    <t>产业链</t>
  </si>
  <si>
    <t>将康养纳入低风险示范场景</t>
  </si>
  <si>
    <t>PO039</t>
  </si>
  <si>
    <t>武汉市加快人形机器人产业发展的若干政策措施</t>
  </si>
  <si>
    <t>支持创新中心、联合实验室、部组件和场景双边奖补</t>
  </si>
  <si>
    <t>资金/平台/场景</t>
  </si>
  <si>
    <t>测算项目可申报资金并设置合规前提</t>
  </si>
  <si>
    <t>PO040</t>
  </si>
  <si>
    <t>武汉市科学技术局</t>
  </si>
  <si>
    <t>2025年度人形机器人重点研发计划</t>
  </si>
  <si>
    <t>支持整机、部件和本地配套研发</t>
  </si>
  <si>
    <t>研发/成果转化</t>
  </si>
  <si>
    <t>组织养老专用关节、触觉和安全控制项目</t>
  </si>
  <si>
    <t>S102</t>
  </si>
  <si>
    <t>https://kjj.wuhan.gov.cn/wmfw/tzgg/tzgg_18371/202504/t20250428_2574832.html</t>
  </si>
  <si>
    <t>PO041</t>
  </si>
  <si>
    <t>养老设施建设三年行动计划（2025—2027年）</t>
  </si>
  <si>
    <t>完善居家、社区、机构养老设施网络</t>
  </si>
  <si>
    <t>场景基础</t>
  </si>
  <si>
    <t>把新建/改造设施纳入机器人预留接口</t>
  </si>
  <si>
    <t>S63</t>
  </si>
  <si>
    <t>武汉市住房和城市更新局</t>
  </si>
  <si>
    <t>https://zgj.wuhan.gov.cn/ztzl/wgshcsgx/zcwj_csgx/202607/t20260702_2815959.shtml</t>
  </si>
  <si>
    <t>PO042</t>
  </si>
  <si>
    <t>科技金融高质量发展行动相关政策</t>
  </si>
  <si>
    <t>构建种子、天使、产业和并购基金矩阵</t>
  </si>
  <si>
    <t>金融/投资</t>
  </si>
  <si>
    <t>采用基金+直投+场景订单组合</t>
  </si>
  <si>
    <t>S103</t>
  </si>
  <si>
    <t>https://jxj.wuhan.gov.cn/xxgk_9/fdzdgknr/zzqgh/ghxx/202506/t20250618_2596864.html</t>
  </si>
  <si>
    <t>PO043</t>
  </si>
  <si>
    <t>武汉市“人工智能+”行动方案相关公开文件</t>
  </si>
  <si>
    <t>推进人形机器人、脑机接口等未来产业创新</t>
  </si>
  <si>
    <t>AI/未来产业</t>
  </si>
  <si>
    <t>推动康养数据和机器人实训场景</t>
  </si>
  <si>
    <t>S104</t>
  </si>
  <si>
    <t>https://www.wuhan.gov.cn/zwgk/xxgk/zfgb/202605/P020260527529996594424.pdf</t>
  </si>
  <si>
    <t>PO044</t>
  </si>
  <si>
    <t>未来产业创新发展相关政策</t>
  </si>
  <si>
    <t>支持未来技术早期验证和人形机器人产业发展</t>
  </si>
  <si>
    <t>中试/场景</t>
  </si>
  <si>
    <t>建设概念验证和中试服务</t>
  </si>
  <si>
    <t>S105</t>
  </si>
  <si>
    <t>https://www.wuhan.gov.cn/zwgk/xxgk/zfwj/bgtwj/202504/P020250410564087105044.pdf</t>
  </si>
  <si>
    <t>PO045</t>
  </si>
  <si>
    <t>武汉产业发展基金管理办法</t>
  </si>
  <si>
    <t>规范政府产业基金投资范围和运作</t>
  </si>
  <si>
    <t>基金/合规</t>
  </si>
  <si>
    <t>所有投资建议嵌入国资基金合规与负面清单</t>
  </si>
  <si>
    <t>S64</t>
  </si>
  <si>
    <t>https://www.wuhan.gov.cn/zwgk/xxgk/zfwj/gfxwj/202304/t20230417_2187075.shtml</t>
  </si>
  <si>
    <t>PO046</t>
  </si>
  <si>
    <t>上海市科学技术委员会</t>
  </si>
  <si>
    <t>基于具身智能的人形等保姆式养老护理机器人研发指南</t>
  </si>
  <si>
    <t>支持居家养老护理机器人研发和验证</t>
  </si>
  <si>
    <t>外部技术导入</t>
  </si>
  <si>
    <t>跟踪上海团队，争取区域总部或联合实验室</t>
  </si>
  <si>
    <t>S82</t>
  </si>
  <si>
    <t>上海市人民政府</t>
  </si>
  <si>
    <t>https://www.shanghai.gov.cn/cmsres/9a/9acd6a7207d04106877c96b83e3a86fa/db179c939dfa87baf8b2f9ff3b37482d.pdf</t>
  </si>
  <si>
    <t>PO047</t>
  </si>
  <si>
    <t>民政部等14部门</t>
  </si>
  <si>
    <t>康复辅助器具产业扩能提质三年行动方案（2026—2028年）</t>
  </si>
  <si>
    <t>实施应用示范、产业升级、创新提升等六大行动，重点发展脑机接口、康养机器人等领域，推动康复辅具进机构、进社区、进家庭</t>
  </si>
  <si>
    <t>康复机器人、技术研发、场景应用、产业投资</t>
  </si>
  <si>
    <t>对接国家示范应用，联合康养机构、高校和企业建设康复辅具应用场景，重点储备康养机器人及脑机接口项目</t>
  </si>
  <si>
    <t>S47</t>
  </si>
  <si>
    <t>https://www.hlj.gov.cn/hljzqc/c100116/202607/c00_31958411.shtml</t>
  </si>
  <si>
    <t>重点企业增强数据库</t>
  </si>
  <si>
    <t>企业数量扩展至全国养老专用企业、医疗康复平台、武汉/湖北整机与核心部件。国家试点或目录入选不等于形成收入。</t>
  </si>
  <si>
    <t>企业ID</t>
  </si>
  <si>
    <t>总部</t>
  </si>
  <si>
    <t>产业角色</t>
  </si>
  <si>
    <t>代表产品/方案</t>
  </si>
  <si>
    <t>公开商业进展</t>
  </si>
  <si>
    <t>资本阶段</t>
  </si>
  <si>
    <t>财务/盈利</t>
  </si>
  <si>
    <t>资质状态</t>
  </si>
  <si>
    <t>建议合作方式</t>
  </si>
  <si>
    <t>武汉落地功能</t>
  </si>
  <si>
    <t>协同程度</t>
  </si>
  <si>
    <t>主要尽调事项</t>
  </si>
  <si>
    <t>建议分级</t>
  </si>
  <si>
    <t>A01</t>
  </si>
  <si>
    <t>康复机器人/具身智能</t>
  </si>
  <si>
    <t>整机/方案/部件</t>
  </si>
  <si>
    <t>约2000家机构与医院、40多个国家和地区</t>
  </si>
  <si>
    <t>私营成长企业；融资金额以尽调为准</t>
  </si>
  <si>
    <t>未完整披露；上市公司按年报，非上市公司需尽调</t>
  </si>
  <si>
    <t>逐产品/逐证核验</t>
  </si>
  <si>
    <t>区域康复示范中心、股权投资、合资运营</t>
  </si>
  <si>
    <t>武汉研发/销售/服务中心</t>
  </si>
  <si>
    <t>医疗器械证照、收入结构、估值与退出需尽调</t>
  </si>
  <si>
    <t>优先投资/合作</t>
  </si>
  <si>
    <t>A02</t>
  </si>
  <si>
    <t>外骨骼康复/助行</t>
  </si>
  <si>
    <t>具备医疗康复与消费级产品线</t>
  </si>
  <si>
    <t>私营成长企业；融资与估值需核实</t>
  </si>
  <si>
    <t>成长轮股权+联合研发+场景开放</t>
  </si>
  <si>
    <t>武汉临床/养老验证与华中中心</t>
  </si>
  <si>
    <t>注册证、销售规模、产品成本与售后网络</t>
  </si>
  <si>
    <t>优先尽调</t>
  </si>
  <si>
    <t>A03</t>
  </si>
  <si>
    <t>智能辅助出行</t>
  </si>
  <si>
    <t>官网披露国家级专精特新小巨人、近亿元B轮</t>
  </si>
  <si>
    <t>B轮后成长企业</t>
  </si>
  <si>
    <t>股权投资+企业招引+产品采购</t>
  </si>
  <si>
    <t>华中销售服务与轻制造</t>
  </si>
  <si>
    <t>收入、毛利、海外合规、融资条款</t>
  </si>
  <si>
    <t>A04</t>
  </si>
  <si>
    <t>河南安阳</t>
  </si>
  <si>
    <t>康复医疗设备/机器人</t>
  </si>
  <si>
    <t>2025主营收入7.41亿元、主营毛利率67.9%</t>
  </si>
  <si>
    <t>科创板上市公司</t>
  </si>
  <si>
    <t>产业合作/基金配置/联合中心</t>
  </si>
  <si>
    <t>康复机器人应用与渠道协同</t>
  </si>
  <si>
    <t>机器人业务占比、医保与院端预算波动</t>
  </si>
  <si>
    <t>产业合作</t>
  </si>
  <si>
    <t>A05</t>
  </si>
  <si>
    <t>深圳</t>
  </si>
  <si>
    <t>人形机器人/智慧康养</t>
  </si>
  <si>
    <t>上市公司、全栈人形技术和康养方案</t>
  </si>
  <si>
    <t>港股上市公司</t>
  </si>
  <si>
    <t>场景合作+基金投资+联合实验室</t>
  </si>
  <si>
    <t>康养场景与华中交付中心</t>
  </si>
  <si>
    <t>养老收入真实性、现金消耗、产品安全与估值</t>
  </si>
  <si>
    <t>合作优先/投资择机</t>
  </si>
  <si>
    <t>A06</t>
  </si>
  <si>
    <t>服务机器人/机构配送</t>
  </si>
  <si>
    <t>商业服务机器人规模化基础</t>
  </si>
  <si>
    <t>私营成长企业</t>
  </si>
  <si>
    <t>产品采购+运营服务+区域中心招引</t>
  </si>
  <si>
    <t>养老机构/医院/物业多场景</t>
  </si>
  <si>
    <t>养老场景渗透、售后成本、竞争与估值</t>
  </si>
  <si>
    <t>场景合作/招引</t>
  </si>
  <si>
    <t>A07</t>
  </si>
  <si>
    <t>清洁/配送服务机器人</t>
  </si>
  <si>
    <t>商业服务场景规模化基础</t>
  </si>
  <si>
    <t>集采试点+区域服务中心</t>
  </si>
  <si>
    <t>物业+养老复用</t>
  </si>
  <si>
    <t>价格竞争、渠道与维修成本、养老适配</t>
  </si>
  <si>
    <t>A08</t>
  </si>
  <si>
    <t>3D视觉传感器</t>
  </si>
  <si>
    <t>见重点产品表</t>
  </si>
  <si>
    <t>2025收入9.41亿元、净利润1.28亿元；测算毛利率约43.8%</t>
  </si>
  <si>
    <t>基金配置+联合感知方案</t>
  </si>
  <si>
    <t>光谷光电子与机器人供应链协同</t>
  </si>
  <si>
    <t>下游价格竞争、机器人收入占比</t>
  </si>
  <si>
    <t>补链优先</t>
  </si>
  <si>
    <t>A09</t>
  </si>
  <si>
    <t>减速器/丝杠/关节模组</t>
  </si>
  <si>
    <t>国家级专精特新小巨人、机器人关节零部件矩阵</t>
  </si>
  <si>
    <t>拟上市/成长企业状态需更新核实</t>
  </si>
  <si>
    <t>股权投资+扩产+联合验证</t>
  </si>
  <si>
    <t>黄冈制造、武汉研发与应用</t>
  </si>
  <si>
    <t>客户集中、IPO进展、产品寿命与产能利用</t>
  </si>
  <si>
    <t>湖北补链首选</t>
  </si>
  <si>
    <t>A10</t>
  </si>
  <si>
    <t>人形/康养场景方案</t>
  </si>
  <si>
    <t>公开信息称多家医疗与养老机构试点</t>
  </si>
  <si>
    <t>早期成长企业</t>
  </si>
  <si>
    <t>里程碑股权投资+联合示范+订单</t>
  </si>
  <si>
    <t>武汉本地整机/方案生态</t>
  </si>
  <si>
    <t>试点名单、收入、股权结构、量产与安全</t>
  </si>
  <si>
    <t>本地重点培育</t>
  </si>
  <si>
    <t>S31;S43</t>
  </si>
  <si>
    <t>武汉市投资促进局、武汉市发展改革委</t>
  </si>
  <si>
    <t>https://tc.wuhan.gov.cn/tzwh/tzzx/202606/t20260626_2813476.shtml
https://fgw.wuhan.gov.cn/xwzx/mtgz/202503/t20250331_2560423.html</t>
  </si>
  <si>
    <t>A11</t>
  </si>
  <si>
    <t>康复医疗/康养</t>
  </si>
  <si>
    <t>官网称康复机器人获二类注册证</t>
  </si>
  <si>
    <t>成长企业</t>
  </si>
  <si>
    <t>场景采购+股权/合资康复中心</t>
  </si>
  <si>
    <t>武汉本地注册与康养资源</t>
  </si>
  <si>
    <t>NMPA证照范围、订单、收入、关联业务</t>
  </si>
  <si>
    <t>本地尽调</t>
  </si>
  <si>
    <t>A12</t>
  </si>
  <si>
    <t>助行外骨骼</t>
  </si>
  <si>
    <t>武汉科技成果登记</t>
  </si>
  <si>
    <t>成果转化/早期</t>
  </si>
  <si>
    <t>种子/成果转化投资+联合研发</t>
  </si>
  <si>
    <t>高校与养老机构验证</t>
  </si>
  <si>
    <t>团队全职化、知识产权、注册路径、样机安全</t>
  </si>
  <si>
    <t>早期储备</t>
  </si>
  <si>
    <t>A13</t>
  </si>
  <si>
    <t>排泄/失能护理机器人</t>
  </si>
  <si>
    <t>具备产品展示与智慧护理方案</t>
  </si>
  <si>
    <t>早期/成长状态需核实</t>
  </si>
  <si>
    <t>场景试点+里程碑投资+招引</t>
  </si>
  <si>
    <t>失能照护刚需验证</t>
  </si>
  <si>
    <t>安全责任、清洁效果、耗材模式、规模交付</t>
  </si>
  <si>
    <t>试点后决策</t>
  </si>
  <si>
    <t>A14</t>
  </si>
  <si>
    <t>陪伴/医疗移动平台</t>
  </si>
  <si>
    <t>养老陪伴与医疗物流产品</t>
  </si>
  <si>
    <t>小额采购试点+渠道合作</t>
  </si>
  <si>
    <t>安养链居家/社区入口</t>
  </si>
  <si>
    <t>活跃度、续费率、真实订单、数据合规</t>
  </si>
  <si>
    <t>A15</t>
  </si>
  <si>
    <t>伺服/控制/自动化</t>
  </si>
  <si>
    <t>2025收入451.05亿元，工业自动化及数字化业务毛利率40.27%</t>
  </si>
  <si>
    <t>深交所上市公司</t>
  </si>
  <si>
    <t>供应链合作/基金配置</t>
  </si>
  <si>
    <t>机器人控制与武汉制造协同</t>
  </si>
  <si>
    <t>养老机器人直接业务占比较低</t>
  </si>
  <si>
    <t>供应链合作</t>
  </si>
  <si>
    <t>A16</t>
  </si>
  <si>
    <t>南京</t>
  </si>
  <si>
    <t>机器人/运动控制</t>
  </si>
  <si>
    <t>2025收入48.88亿元、综合毛利率29.45%</t>
  </si>
  <si>
    <t>上市公司</t>
  </si>
  <si>
    <t>供应链与系统集成合作</t>
  </si>
  <si>
    <t>中试制造与零部件协同</t>
  </si>
  <si>
    <t>工业机器人周期、养老场景非核心</t>
  </si>
  <si>
    <t>A17</t>
  </si>
  <si>
    <t>康复机器人/医疗器械</t>
  </si>
  <si>
    <t>上市康复设备平台</t>
  </si>
  <si>
    <t>上下肢康复训练设备</t>
  </si>
  <si>
    <t>2025年营收约4.63亿元、归母净利润约1.38亿元；机器人收入未单列</t>
  </si>
  <si>
    <t>盈利、财务可审计</t>
  </si>
  <si>
    <t>具体注册证逐产品核验</t>
  </si>
  <si>
    <t>业务合作/二级市场或产业协同</t>
  </si>
  <si>
    <t>武汉康复示范与医院渠道合作</t>
  </si>
  <si>
    <t>机器人业务收入、装机和利用率</t>
  </si>
  <si>
    <t>优先跟踪</t>
  </si>
  <si>
    <t>A18</t>
  </si>
  <si>
    <t>软体康复/脑机接口</t>
  </si>
  <si>
    <t>康复整机</t>
  </si>
  <si>
    <t>手功能、BCI及软体外骨骼</t>
  </si>
  <si>
    <t>企业披露覆盖80余国、4000余家医院、6万家庭；需审计</t>
  </si>
  <si>
    <t>成长企业/A轮后</t>
  </si>
  <si>
    <t>企业宣称NMPA/FDA/CE，需逐证核验</t>
  </si>
  <si>
    <t>股权尽调+场景试点</t>
  </si>
  <si>
    <t>华中销售服务与家庭康复试点</t>
  </si>
  <si>
    <t>终端动销、经销库存、收入和估值</t>
  </si>
  <si>
    <t>A19</t>
  </si>
  <si>
    <t>康复外骨骼</t>
  </si>
  <si>
    <t>AiLegs/AiWalker</t>
  </si>
  <si>
    <t>国家养老机器人试点牵头单位</t>
  </si>
  <si>
    <t>需逐证核验</t>
  </si>
  <si>
    <t>康复机构试点</t>
  </si>
  <si>
    <t>收入、近轮融资、注册和售后</t>
  </si>
  <si>
    <t>重点跟踪</t>
  </si>
  <si>
    <t>A20</t>
  </si>
  <si>
    <t>公开进入医院和康养机构；近年经营数据有限</t>
  </si>
  <si>
    <t>场景合作/持续跟踪</t>
  </si>
  <si>
    <t>华中服务中心</t>
  </si>
  <si>
    <t>近三年经营、回款和注册</t>
  </si>
  <si>
    <t>A21</t>
  </si>
  <si>
    <t>失能护理机器人</t>
  </si>
  <si>
    <t>护理整机/方案</t>
  </si>
  <si>
    <t>大小便、洗浴、移位和外骨骼</t>
  </si>
  <si>
    <t>国家试点牵头单位并有公开产品矩阵</t>
  </si>
  <si>
    <t>非医疗/医疗属性按产品核验</t>
  </si>
  <si>
    <t>失能护理示范与售后中心</t>
  </si>
  <si>
    <t>销量、耗材、售后、事故和毛利</t>
  </si>
  <si>
    <t>优先试点/尽调</t>
  </si>
  <si>
    <t>A22</t>
  </si>
  <si>
    <t>失能护理/智能轮椅</t>
  </si>
  <si>
    <t>护理整机</t>
  </si>
  <si>
    <t>二便护理机器人、无人驾驶轮椅</t>
  </si>
  <si>
    <t>参与国家养老机器人试点</t>
  </si>
  <si>
    <t>逐产品核验</t>
  </si>
  <si>
    <t>机构护理与轮椅试点</t>
  </si>
  <si>
    <t>收入、融资、稳定性和售后</t>
  </si>
  <si>
    <t>A23</t>
  </si>
  <si>
    <t>沈阳</t>
  </si>
  <si>
    <t>康养机器人/系统集成</t>
  </si>
  <si>
    <t>上市机器人平台</t>
  </si>
  <si>
    <t>康复训练、陪护及康养方案</t>
  </si>
  <si>
    <t>2025年营收41.22亿元；康养收入未单列</t>
  </si>
  <si>
    <t>亏损；财务可审计</t>
  </si>
  <si>
    <t>场景合作/园区招商</t>
  </si>
  <si>
    <t>大型项目交付和集成</t>
  </si>
  <si>
    <t>康养订单、收入和产品迭代</t>
  </si>
  <si>
    <t>战略合作</t>
  </si>
  <si>
    <t>S90;S48</t>
  </si>
  <si>
    <t>新松机器人、工业和信息化部、民政部</t>
  </si>
  <si>
    <t>https://www.siasun.com/uploads/file/20260427/335fc9a5e2378da43372ad89d6beb488.pdf
https://www.miit.gov.cn/cms_files/filemanager/1226211233/attach/20259/9abb9844496942e9bbd91b411b5b38ff.pdf</t>
  </si>
  <si>
    <t>A24</t>
  </si>
  <si>
    <t>陪伴/健康监测</t>
  </si>
  <si>
    <t>陪伴整机</t>
  </si>
  <si>
    <t>国家试点牵头单位，公开试用较多</t>
  </si>
  <si>
    <t>早期/成长</t>
  </si>
  <si>
    <t>非医疗产品为主，需核</t>
  </si>
  <si>
    <t>场景试点/持续跟踪</t>
  </si>
  <si>
    <t>居家和机构陪伴试点</t>
  </si>
  <si>
    <t>采购、在线率、续费和融资</t>
  </si>
  <si>
    <t>A25</t>
  </si>
  <si>
    <t>拓普智造</t>
  </si>
  <si>
    <t>陪伴/远程看护</t>
  </si>
  <si>
    <t>U-DHOO养老陪伴机器人</t>
  </si>
  <si>
    <t>公开多地使用，规模和付费未披露</t>
  </si>
  <si>
    <t>需核</t>
  </si>
  <si>
    <t>小规模试点</t>
  </si>
  <si>
    <t>社区/居家试点</t>
  </si>
  <si>
    <t>在线率、续费、售后和收入</t>
  </si>
  <si>
    <t>A26</t>
  </si>
  <si>
    <t>陪伴/养老服务</t>
  </si>
  <si>
    <t>陪伴整机+服务</t>
  </si>
  <si>
    <t>大头阿亮</t>
  </si>
  <si>
    <t>公开早期销售及股权投资线索</t>
  </si>
  <si>
    <t>股权线索/场景试点</t>
  </si>
  <si>
    <t>安养链居家用户试验</t>
  </si>
  <si>
    <t>财务、服务成本和复制能力</t>
  </si>
  <si>
    <t>A27</t>
  </si>
  <si>
    <t>萌特博智能</t>
  </si>
  <si>
    <t>养老监测/陪伴</t>
  </si>
  <si>
    <t>养老专用整机</t>
  </si>
  <si>
    <t>探针跌倒监测终端等</t>
  </si>
  <si>
    <t>官网可核产品，规模经营未披露</t>
  </si>
  <si>
    <t>采购验证</t>
  </si>
  <si>
    <t>居家安全看护</t>
  </si>
  <si>
    <t>准确率、误报和付费规模</t>
  </si>
  <si>
    <t>A28</t>
  </si>
  <si>
    <t>康伴科技</t>
  </si>
  <si>
    <t>健康管理/陪伴</t>
  </si>
  <si>
    <t>健康服务机器人</t>
  </si>
  <si>
    <t>K1/K2H/K4/K8</t>
  </si>
  <si>
    <t>官网形成多层产品矩阵</t>
  </si>
  <si>
    <t>健康建议边界需核</t>
  </si>
  <si>
    <t>场景试点/服务合作</t>
  </si>
  <si>
    <t>安养链健康服务入口</t>
  </si>
  <si>
    <t>活跃、转介闭环和服务成本</t>
  </si>
  <si>
    <t>A29</t>
  </si>
  <si>
    <t>苏州</t>
  </si>
  <si>
    <t>国家试点牵头单位</t>
  </si>
  <si>
    <t>机构场景试点</t>
  </si>
  <si>
    <t>本地售后/组装招商</t>
  </si>
  <si>
    <t>收入、售后和清洁消毒</t>
  </si>
  <si>
    <t>A30</t>
  </si>
  <si>
    <t>广州</t>
  </si>
  <si>
    <t>移乘转运机器人</t>
  </si>
  <si>
    <t>机构移乘验证</t>
  </si>
  <si>
    <t>安全责任、成熟度和量产</t>
  </si>
  <si>
    <t>A31</t>
  </si>
  <si>
    <t>山东</t>
  </si>
  <si>
    <t>移乘机器人试点</t>
  </si>
  <si>
    <t>安全、订单和售后</t>
  </si>
  <si>
    <t>A32</t>
  </si>
  <si>
    <t>护理床椅机器人</t>
  </si>
  <si>
    <t>研发/场景合作</t>
  </si>
  <si>
    <t>护理床椅验证</t>
  </si>
  <si>
    <t>原型成熟度、量产和责任</t>
  </si>
  <si>
    <t>A33</t>
  </si>
  <si>
    <t>上海钧控</t>
  </si>
  <si>
    <t>理疗服务机器人</t>
  </si>
  <si>
    <t>整机/集成</t>
  </si>
  <si>
    <t>医疗属性需核</t>
  </si>
  <si>
    <t>康复理疗示范</t>
  </si>
  <si>
    <t>注册、疗效和项目持续性</t>
  </si>
  <si>
    <t>A34</t>
  </si>
  <si>
    <t>浙江豪中豪</t>
  </si>
  <si>
    <t>浙江</t>
  </si>
  <si>
    <t>理疗康复机器人</t>
  </si>
  <si>
    <t>健康设备/整机</t>
  </si>
  <si>
    <t>智能理疗复健机器人</t>
  </si>
  <si>
    <t>产品/场景合作</t>
  </si>
  <si>
    <t>理疗服务试点</t>
  </si>
  <si>
    <t>机器人业务边界和收入</t>
  </si>
  <si>
    <t>A35</t>
  </si>
  <si>
    <t>润泽科技</t>
  </si>
  <si>
    <t>河北</t>
  </si>
  <si>
    <t>生活照料具身智能</t>
  </si>
  <si>
    <t>项目牵头/场景平台</t>
  </si>
  <si>
    <t>上市/平台型</t>
  </si>
  <si>
    <t>养老收入未单列</t>
  </si>
  <si>
    <t>项目合作</t>
  </si>
  <si>
    <t>大型场景和算力协同</t>
  </si>
  <si>
    <t>养老专用能力与项目收入</t>
  </si>
  <si>
    <t>战略观察</t>
  </si>
  <si>
    <t>A36</t>
  </si>
  <si>
    <t>居家养老机器人</t>
  </si>
  <si>
    <t>家电生态/整机</t>
  </si>
  <si>
    <t>集团生态</t>
  </si>
  <si>
    <t>生态合作/招商</t>
  </si>
  <si>
    <t>居家养老生态接入</t>
  </si>
  <si>
    <t>具体产品、收入和持续使用</t>
  </si>
  <si>
    <t>A37</t>
  </si>
  <si>
    <t>研发机构/整机</t>
  </si>
  <si>
    <t>研发平台</t>
  </si>
  <si>
    <t>联合研发/技术导入</t>
  </si>
  <si>
    <t>助行研发合作</t>
  </si>
  <si>
    <t>主体边界、知识产权和量产</t>
  </si>
  <si>
    <t>A38</t>
  </si>
  <si>
    <t>自变量机器人</t>
  </si>
  <si>
    <t>具身智能整机</t>
  </si>
  <si>
    <t>生活照料机器人</t>
  </si>
  <si>
    <t>非医疗为主</t>
  </si>
  <si>
    <t>技术合作/长期储备</t>
  </si>
  <si>
    <t>具身数据与低风险任务试点</t>
  </si>
  <si>
    <t>任务成功率、融资和量产</t>
  </si>
  <si>
    <t>前沿储备</t>
  </si>
  <si>
    <t>A39</t>
  </si>
  <si>
    <t>多场景服务/协作</t>
  </si>
  <si>
    <t>整机/协作机器人</t>
  </si>
  <si>
    <t>企业招引/场景合作</t>
  </si>
  <si>
    <t>系统集成与组装</t>
  </si>
  <si>
    <t>养老场景收入和交付成本</t>
  </si>
  <si>
    <t>A40</t>
  </si>
  <si>
    <t>养老健康管理</t>
  </si>
  <si>
    <t>平台/服务</t>
  </si>
  <si>
    <t>大型平台</t>
  </si>
  <si>
    <t>健康服务边界需核</t>
  </si>
  <si>
    <t>安养链服务接口与流量协同</t>
  </si>
  <si>
    <t>项目持续性、数据合规和转化</t>
  </si>
  <si>
    <t>A41</t>
  </si>
  <si>
    <t>北京夫优华</t>
  </si>
  <si>
    <t>养老服务机器人</t>
  </si>
  <si>
    <t>养老整机</t>
  </si>
  <si>
    <t>智能养老服务机器人</t>
  </si>
  <si>
    <t>陪伴/服务试点</t>
  </si>
  <si>
    <t>产品成熟度和经营数据</t>
  </si>
  <si>
    <t>A42</t>
  </si>
  <si>
    <t>福建汉特云</t>
  </si>
  <si>
    <t>福建</t>
  </si>
  <si>
    <t>智慧环境/群体协作</t>
  </si>
  <si>
    <t>平台/集成</t>
  </si>
  <si>
    <t>养老服务机器人群体协作</t>
  </si>
  <si>
    <t>多机器人调度验证</t>
  </si>
  <si>
    <t>核心技术、项目复用和收入</t>
  </si>
  <si>
    <t>A43</t>
  </si>
  <si>
    <t>南通振康</t>
  </si>
  <si>
    <t>南通</t>
  </si>
  <si>
    <t>生活照料/康复</t>
  </si>
  <si>
    <t>精密传动+整机</t>
  </si>
  <si>
    <t>生活照料与康复理疗机器人</t>
  </si>
  <si>
    <t>成熟制造企业</t>
  </si>
  <si>
    <t>供应链/场景合作</t>
  </si>
  <si>
    <t>关节制造与组装导入</t>
  </si>
  <si>
    <t>机器人业务收入和产品责任</t>
  </si>
  <si>
    <t>A44</t>
  </si>
  <si>
    <t>安徽金百合医疗器械</t>
  </si>
  <si>
    <t>安徽</t>
  </si>
  <si>
    <t>智能轮椅</t>
  </si>
  <si>
    <t>医疗器械/整机</t>
  </si>
  <si>
    <t>智能养老轮椅机器人</t>
  </si>
  <si>
    <t>逐证核验</t>
  </si>
  <si>
    <t>智能轮椅试点</t>
  </si>
  <si>
    <t>资质、订单和量产</t>
  </si>
  <si>
    <t>A45</t>
  </si>
  <si>
    <t>北京明熹五品</t>
  </si>
  <si>
    <t>健康管理机器人</t>
  </si>
  <si>
    <t>健康AI/整机</t>
  </si>
  <si>
    <t>智能健康管理机器人</t>
  </si>
  <si>
    <t>医疗建议边界需核</t>
  </si>
  <si>
    <t>健康管理试点</t>
  </si>
  <si>
    <t>产品、资质和经营数据</t>
  </si>
  <si>
    <t>A46</t>
  </si>
  <si>
    <t>甘肃</t>
  </si>
  <si>
    <t>健康监测机器人</t>
  </si>
  <si>
    <t>平台/整机</t>
  </si>
  <si>
    <t>县域养老场景复制观察</t>
  </si>
  <si>
    <t>准确性、订单和持续运营</t>
  </si>
  <si>
    <t>A47</t>
  </si>
  <si>
    <t>上海归墟机器人</t>
  </si>
  <si>
    <t>具身智能陪护</t>
  </si>
  <si>
    <t>具身整机</t>
  </si>
  <si>
    <t>心理大模型养老服务机器人</t>
  </si>
  <si>
    <t>联合研发/长期储备</t>
  </si>
  <si>
    <t>陪护试验</t>
  </si>
  <si>
    <t>团队、融资、模型安全和量产</t>
  </si>
  <si>
    <t>A48</t>
  </si>
  <si>
    <t>杭州创无际</t>
  </si>
  <si>
    <t>情感陪护机器人</t>
  </si>
  <si>
    <t>智能情感陪护机器人</t>
  </si>
  <si>
    <t>参与国家试点</t>
  </si>
  <si>
    <t>陪伴场景试验</t>
  </si>
  <si>
    <t>商业主体、产品和付费</t>
  </si>
  <si>
    <t>A49</t>
  </si>
  <si>
    <t>江苏集萃智能制造研究所</t>
  </si>
  <si>
    <t>陪护/智能制造</t>
  </si>
  <si>
    <t>智能陪护机器人</t>
  </si>
  <si>
    <t>科研平台</t>
  </si>
  <si>
    <t>联合研发/成果转化</t>
  </si>
  <si>
    <t>共建项目</t>
  </si>
  <si>
    <t>成果权属、产业化主体和量产</t>
  </si>
  <si>
    <t>A50</t>
  </si>
  <si>
    <t>力之医疗</t>
  </si>
  <si>
    <t>康复护理协作</t>
  </si>
  <si>
    <t>医疗/整机</t>
  </si>
  <si>
    <t>多智能体护理协作网络</t>
  </si>
  <si>
    <t>机构护理协作</t>
  </si>
  <si>
    <t>产品成熟度和收入</t>
  </si>
  <si>
    <t>A51</t>
  </si>
  <si>
    <t>格蓝若智能机器人</t>
  </si>
  <si>
    <t>人形机器人整机</t>
  </si>
  <si>
    <t>武汉整机</t>
  </si>
  <si>
    <t>劳动者系列/M3</t>
  </si>
  <si>
    <t>武汉公开重点整机企业，获产业资本参股</t>
  </si>
  <si>
    <t>非养老专用</t>
  </si>
  <si>
    <t>场景/供应链合作</t>
  </si>
  <si>
    <t>武汉整机研发制造</t>
  </si>
  <si>
    <t>养老适配、订单、融资和量产</t>
  </si>
  <si>
    <t>本地生态重点</t>
  </si>
  <si>
    <t>S58;S80;S81</t>
  </si>
  <si>
    <t>武汉市经济和信息化局、武汉市人民政府、湖北省科学技术厅</t>
  </si>
  <si>
    <t>https://jxj.wuhan.gov.cn/xxgk_9/fdzdgknr/ygzdgk/jytabl_01/202511/t20251113_2677076.html
https://www.wuhan.gov.cn/sy/whyw/202511/t20251111_2675764.shtml
https://kjt.hubei.gov.cn/kjdt/sxkj/wh/202507/t20250721_5727167.shtml</t>
  </si>
  <si>
    <t>A52</t>
  </si>
  <si>
    <t>荆楚机器人</t>
  </si>
  <si>
    <t>荆楚/精灵系列</t>
  </si>
  <si>
    <t>武汉公开重点整机企业</t>
  </si>
  <si>
    <t>武汉本体和场景</t>
  </si>
  <si>
    <t>主体经营、订单和养老适配</t>
  </si>
  <si>
    <t>本地生态</t>
  </si>
  <si>
    <t>S80;S81</t>
  </si>
  <si>
    <t>武汉市人民政府、湖北省科学技术厅</t>
  </si>
  <si>
    <t>https://www.wuhan.gov.cn/sy/whyw/202511/t20251111_2675764.shtml
https://kjt.hubei.gov.cn/kjdt/sxkj/wh/202507/t20250721_5727167.shtml</t>
  </si>
  <si>
    <t>A53</t>
  </si>
  <si>
    <t>湖北启灵</t>
  </si>
  <si>
    <t>神农系列</t>
  </si>
  <si>
    <t>经营、量产和养老任务</t>
  </si>
  <si>
    <t>A54</t>
  </si>
  <si>
    <t>手智创新</t>
  </si>
  <si>
    <t>远游系列</t>
  </si>
  <si>
    <t>武汉大学团队产业化，公开场景应用</t>
  </si>
  <si>
    <t>联合研发/场景验证</t>
  </si>
  <si>
    <t>高校成果转化与服务机器人</t>
  </si>
  <si>
    <t>主体、知识产权、订单和养老适配</t>
  </si>
  <si>
    <t>S58;S80</t>
  </si>
  <si>
    <t>武汉市经济和信息化局、武汉市人民政府</t>
  </si>
  <si>
    <t>https://jxj.wuhan.gov.cn/xxgk_9/fdzdgknr/ygzdgk/jytabl_01/202511/t20251113_2677076.html
https://www.wuhan.gov.cn/sy/whyw/202511/t20251111_2675764.shtml</t>
  </si>
  <si>
    <t>A55</t>
  </si>
  <si>
    <t>光谷华汇</t>
  </si>
  <si>
    <t>人形/特种机器人</t>
  </si>
  <si>
    <t>武汉整机与部件</t>
  </si>
  <si>
    <t>楚宝系列</t>
  </si>
  <si>
    <t>武汉公开推动本地量产</t>
  </si>
  <si>
    <t>企业招引/产业链合作</t>
  </si>
  <si>
    <t>整机与部件量产</t>
  </si>
  <si>
    <t>产线、订单和养老适配</t>
  </si>
  <si>
    <t>A56</t>
  </si>
  <si>
    <t>华威科</t>
  </si>
  <si>
    <t>电子皮肤/灵巧手</t>
  </si>
  <si>
    <t>核心传感部件</t>
  </si>
  <si>
    <t>柔性电子皮肤</t>
  </si>
  <si>
    <t>武汉公开重点部件企业并披露批量交付</t>
  </si>
  <si>
    <t>部件无需医疗注册但需安全验证</t>
  </si>
  <si>
    <t>供应链投资/联合验证</t>
  </si>
  <si>
    <t>触觉传感中试和量产</t>
  </si>
  <si>
    <t>收入、客户集中和知识产权</t>
  </si>
  <si>
    <t>本地补链重点</t>
  </si>
  <si>
    <t>A57</t>
  </si>
  <si>
    <t>灏存科技</t>
  </si>
  <si>
    <t>运动控制/小脑</t>
  </si>
  <si>
    <t>核心控制部件</t>
  </si>
  <si>
    <t>运动神经中枢系统</t>
  </si>
  <si>
    <t>武汉公开重点部件企业</t>
  </si>
  <si>
    <t>需产品验证</t>
  </si>
  <si>
    <t>供应链合作/投资尽调</t>
  </si>
  <si>
    <t>运动控制平台</t>
  </si>
  <si>
    <t>客户、收入和可靠性</t>
  </si>
  <si>
    <t>A58</t>
  </si>
  <si>
    <t>元生创新</t>
  </si>
  <si>
    <t>电机/关节部件</t>
  </si>
  <si>
    <t>核心部件</t>
  </si>
  <si>
    <t>机器人电机与部件</t>
  </si>
  <si>
    <t>武汉公开重点产业链企业</t>
  </si>
  <si>
    <t>需验证</t>
  </si>
  <si>
    <t>核心部件量产</t>
  </si>
  <si>
    <t>产品、客户和财务</t>
  </si>
  <si>
    <t>本地补链</t>
  </si>
  <si>
    <t>A59</t>
  </si>
  <si>
    <t>万至达电机</t>
  </si>
  <si>
    <t>空心杯电机</t>
  </si>
  <si>
    <t>高性能电机</t>
  </si>
  <si>
    <t>武汉公开产业链重点企业</t>
  </si>
  <si>
    <t>供应链合作/扩产</t>
  </si>
  <si>
    <t>电机制造</t>
  </si>
  <si>
    <t>机器人收入和客户验证</t>
  </si>
  <si>
    <t>A60</t>
  </si>
  <si>
    <t>武汉智动力</t>
  </si>
  <si>
    <t>一体化关节/驱动</t>
  </si>
  <si>
    <t>机器人关节部件</t>
  </si>
  <si>
    <t>关节中试制造</t>
  </si>
  <si>
    <t>产品指标、客户和财务</t>
  </si>
  <si>
    <t>A61</t>
  </si>
  <si>
    <t>黑芝麻智能</t>
  </si>
  <si>
    <t>AI芯片</t>
  </si>
  <si>
    <t>上游芯片平台</t>
  </si>
  <si>
    <t>智能计算芯片</t>
  </si>
  <si>
    <t>上市/成熟</t>
  </si>
  <si>
    <t>机器人收入未单列</t>
  </si>
  <si>
    <t>芯片合规按应用核验</t>
  </si>
  <si>
    <t>具身计算平台</t>
  </si>
  <si>
    <t>养老机器人适配和业务收入</t>
  </si>
  <si>
    <t>A62</t>
  </si>
  <si>
    <t>斯微特传动</t>
  </si>
  <si>
    <t>RV减速器</t>
  </si>
  <si>
    <t>核心传动部件</t>
  </si>
  <si>
    <t>RV减速机</t>
  </si>
  <si>
    <t>公开深耕减速器并参与湖北产业链展示</t>
  </si>
  <si>
    <t>武汉传动制造</t>
  </si>
  <si>
    <t>收入、产能和养老适配</t>
  </si>
  <si>
    <t>S20;S81</t>
  </si>
  <si>
    <t>湖北省经信厅、湖北省科学技术厅</t>
  </si>
  <si>
    <t>https://jxt.hubei.gov.cn/bmdt/szgz/202510/t20251020_5794283.shtml
https://kjt.hubei.gov.cn/kjdt/sxkj/wh/202507/t20250721_5727167.shtml</t>
  </si>
  <si>
    <t>A63</t>
  </si>
  <si>
    <t>武汉蒙凯特机器人</t>
  </si>
  <si>
    <t>医疗机器人</t>
  </si>
  <si>
    <t>整机/成果转化</t>
  </si>
  <si>
    <t>武汉公开与院士团队合作研发</t>
  </si>
  <si>
    <t>医疗器械路径需核</t>
  </si>
  <si>
    <t>武汉医疗机器人项目</t>
  </si>
  <si>
    <t>产品、知识产权、注册和主体</t>
  </si>
  <si>
    <t>本地成果转化</t>
  </si>
  <si>
    <t>A64</t>
  </si>
  <si>
    <t>迪发尔（武汉）智能科技</t>
  </si>
  <si>
    <t>护理床/移乘转运</t>
  </si>
  <si>
    <t>移乘转运和二便护理床式机器人</t>
  </si>
  <si>
    <t>湖北唯一国家养老机器人试点牵头企业</t>
  </si>
  <si>
    <t>需逐产品核验</t>
  </si>
  <si>
    <t>优先场景验证/投资尽调</t>
  </si>
  <si>
    <t>武汉护理机器人整机</t>
  </si>
  <si>
    <t>样机、订单、资质、融资和团队</t>
  </si>
  <si>
    <t>本地优先尽调</t>
  </si>
  <si>
    <t>A65</t>
  </si>
  <si>
    <t>湖北铠瑞博科技</t>
  </si>
  <si>
    <t>康复辅具/护理</t>
  </si>
  <si>
    <t>辅具与场景协作</t>
  </si>
  <si>
    <t>护理床式机器人项目参与方</t>
  </si>
  <si>
    <t>参与湖北国家养老机器人试点</t>
  </si>
  <si>
    <t>湖北辅具协同</t>
  </si>
  <si>
    <t>产品、收入和项目角色</t>
  </si>
  <si>
    <t>本地协同</t>
  </si>
  <si>
    <t>A66</t>
  </si>
  <si>
    <t>湖北科峰智能</t>
  </si>
  <si>
    <t>机器人关节/驱动</t>
  </si>
  <si>
    <t>直线/旋转电驱动关节</t>
  </si>
  <si>
    <t>公开为武汉整机配套并形成下线产品</t>
  </si>
  <si>
    <t>产业投资/扩产/联合验证</t>
  </si>
  <si>
    <t>黄冈制造+武汉研发</t>
  </si>
  <si>
    <t>收入、客户、产能和估值</t>
  </si>
  <si>
    <t>区域补链重点</t>
  </si>
  <si>
    <t>S21;S59</t>
  </si>
  <si>
    <t>科峰传动、武汉市人民政府</t>
  </si>
  <si>
    <t>https://www.kofon.com.cn/
https://3g.wuhan.gov.cn/sy/whyw/202506/t20250623_2598697.shtml</t>
  </si>
  <si>
    <t>重点项目、国家试点、采购与产业落地机会</t>
  </si>
  <si>
    <t>保留原14项项目建议，新增32项国家试点及采购/场景案例；资金需求中研究建议均为情景值。</t>
  </si>
  <si>
    <t>项目ID</t>
  </si>
  <si>
    <t>地区</t>
  </si>
  <si>
    <t>牵头/合作主体</t>
  </si>
  <si>
    <t>类型</t>
  </si>
  <si>
    <t>状态</t>
  </si>
  <si>
    <t>参与主体</t>
  </si>
  <si>
    <t>合理资金需求</t>
  </si>
  <si>
    <t>持有/建设周期</t>
  </si>
  <si>
    <t>退出/收益路径</t>
  </si>
  <si>
    <t>主要风险</t>
  </si>
  <si>
    <t>公开确认状态</t>
  </si>
  <si>
    <t>P01</t>
  </si>
  <si>
    <t>安养链机器人场景接入与运营平台</t>
  </si>
  <si>
    <t>平台/场景</t>
  </si>
  <si>
    <t>拟建</t>
  </si>
  <si>
    <t>建设设备接入标准、场景需求池、试点工单与服务支付</t>
  </si>
  <si>
    <t>原库未单列</t>
  </si>
  <si>
    <t>合资运营/内部项目/供应商招采</t>
  </si>
  <si>
    <t>平台建设与首批设备资金需内部测算</t>
  </si>
  <si>
    <t>1—2年</t>
  </si>
  <si>
    <t>形成武汉城投可控的场景入口</t>
  </si>
  <si>
    <t>数据合规、平台集成、持续运营</t>
  </si>
  <si>
    <t>需后续内部核实</t>
  </si>
  <si>
    <t>P02</t>
  </si>
  <si>
    <t>武汉康复机器人示范中心</t>
  </si>
  <si>
    <t>武汉城投+医院/康养资源+企业</t>
  </si>
  <si>
    <t>建议</t>
  </si>
  <si>
    <t>引入傅利叶/程天/翔宇等形成评估—训练—随访闭环</t>
  </si>
  <si>
    <t>合资/采购租赁/联合运营</t>
  </si>
  <si>
    <t>建议分阶段投入500—1500万元，需可研</t>
  </si>
  <si>
    <t>3—5年</t>
  </si>
  <si>
    <t>运营现金流+股权/招商协同</t>
  </si>
  <si>
    <t>利用率、医疗资质、支付</t>
  </si>
  <si>
    <t>S08;S13;S22;S23;S25</t>
  </si>
  <si>
    <t>武汉市人民政府、傅利叶智能、程天科技、翔宇医疗</t>
  </si>
  <si>
    <t>https://www.wuhan.gov.cn/zwgk/xxgk/zfwj/bgtwj/202503/t20250321_2555479.shtml
https://www.wuhan.gov.cn/zwgk/xxgk/zfwj/bgtwj/202112/t20211203_1865392.shtml
https://www.fftai.cn/products-rehabilitation
https://www.roboct.com/
https://money.finance.sina.com.cn/corp/view/vCB_AllBulletinDetail.php?id=12170111&amp;stockid=688626</t>
  </si>
  <si>
    <t>P03</t>
  </si>
  <si>
    <t>养老机构配送清洁巡检机器人百床试点</t>
  </si>
  <si>
    <t>武汉城投公开养老网络+擎朗/普渡/光谷东智</t>
  </si>
  <si>
    <t>场景项目</t>
  </si>
  <si>
    <t>选择2—3个不同楼宇条件机构开展12个月对照试验</t>
  </si>
  <si>
    <t>采购+租赁+服务</t>
  </si>
  <si>
    <t>单点20—60万元情景预算</t>
  </si>
  <si>
    <t>节省工时、形成集采与区域复制</t>
  </si>
  <si>
    <t>ROI、流程适配、安全</t>
  </si>
  <si>
    <t>S05;S31;S38;S39</t>
  </si>
  <si>
    <t>武汉市财政局、武汉市投资促进局、普渡机器人、擎朗智能</t>
  </si>
  <si>
    <t>https://czj.wuhan.gov.cn/FBJD/XXGKML/CZGK/dftzgs/202509/t20250903_2643258.html
https://tc.wuhan.gov.cn/tzwh/tzzx/202606/t20260626_2813476.shtml
https://www.pudurobotics.com/
https://www.keenon.com/</t>
  </si>
  <si>
    <t>P04</t>
  </si>
  <si>
    <t>失能护理机器人安全验证项目</t>
  </si>
  <si>
    <t>养老机构+呵康等</t>
  </si>
  <si>
    <t>场景/研发</t>
  </si>
  <si>
    <t>围绕排泄、移位等高刚需做小样本、强监督验证</t>
  </si>
  <si>
    <t>联合研发+场景开放+里程碑投资</t>
  </si>
  <si>
    <t>首期100—300万元试点经费情景</t>
  </si>
  <si>
    <t>2—4年</t>
  </si>
  <si>
    <t>验证后可投资并导入制造</t>
  </si>
  <si>
    <t>人身安全、责任、注册</t>
  </si>
  <si>
    <t>S02;S41</t>
  </si>
  <si>
    <t>工业和信息化部等、呵康科技</t>
  </si>
  <si>
    <t>https://www.ncsti.gov.cn/kjdt/tzgg/202506/t20250610_207396.html
https://www.chinaevercare.com/index.aspx</t>
  </si>
  <si>
    <t>P05</t>
  </si>
  <si>
    <t>科峰传动机器人关节扩产/联合验证</t>
  </si>
  <si>
    <t>黄冈+武汉</t>
  </si>
  <si>
    <t>科峰传动+武汉机器人企业</t>
  </si>
  <si>
    <t>补链/扩产</t>
  </si>
  <si>
    <t>储备</t>
  </si>
  <si>
    <t>以养老/服务机器人负载谱验证关节模组并评估扩产</t>
  </si>
  <si>
    <t>股权投资+产业基金+订单协同</t>
  </si>
  <si>
    <t>资金需求以企业商业计划与产能利用率为准</t>
  </si>
  <si>
    <t>4—7年</t>
  </si>
  <si>
    <t>核心零部件增值与省内链条</t>
  </si>
  <si>
    <t>IPO/估值、产能、质量</t>
  </si>
  <si>
    <t>公开可跟踪</t>
  </si>
  <si>
    <t>P06</t>
  </si>
  <si>
    <t>光谷东智康养方案规模化</t>
  </si>
  <si>
    <t>股权/场景</t>
  </si>
  <si>
    <t>核验多机构试点效果后提供首批订单并推动产品标准化</t>
  </si>
  <si>
    <t>里程碑股权+采购+园区支持</t>
  </si>
  <si>
    <t>建议首轮少数股权，金额待估值尽调</t>
  </si>
  <si>
    <t>5—7年</t>
  </si>
  <si>
    <t>本地整机企业成长与招商示范</t>
  </si>
  <si>
    <t>收入、量产、安全、股权</t>
  </si>
  <si>
    <t>P07</t>
  </si>
  <si>
    <t>武汉沃森拓客外骨骼成果转化</t>
  </si>
  <si>
    <t>武汉沃森拓客+高校/医院</t>
  </si>
  <si>
    <t>完成知识产权、注册路径、样机测试和临床合作</t>
  </si>
  <si>
    <t>种子投资+联合研发</t>
  </si>
  <si>
    <t>500—1500万元分里程碑情景</t>
  </si>
  <si>
    <t>5—8年</t>
  </si>
  <si>
    <t>早期技术增值/产业并购退出</t>
  </si>
  <si>
    <t>注册、团队、临床与现金消耗</t>
  </si>
  <si>
    <t>P08</t>
  </si>
  <si>
    <t>武汉海沁康复机器人场景与股权合作</t>
  </si>
  <si>
    <t>成长/场景</t>
  </si>
  <si>
    <t>复核注册证和订单后导入康养机构与康复中心</t>
  </si>
  <si>
    <t>股权/合资/采购</t>
  </si>
  <si>
    <t>资金需求需审计与商业计划</t>
  </si>
  <si>
    <t>本地企业成长和康养服务收入</t>
  </si>
  <si>
    <t>证照、收入、关联交易</t>
  </si>
  <si>
    <t>P09</t>
  </si>
  <si>
    <t>外地康复机器人华中区域总部招引</t>
  </si>
  <si>
    <t>傅利叶/程天/邦邦等</t>
  </si>
  <si>
    <t>招引</t>
  </si>
  <si>
    <t>设销售服务、培训、临床合作与轻量中试功能</t>
  </si>
  <si>
    <t>股权+租金/政策+订单+基金</t>
  </si>
  <si>
    <t>按企业阶段一企一策</t>
  </si>
  <si>
    <t>税收、就业、招商与股权增值</t>
  </si>
  <si>
    <t>总部能级、承诺兑现</t>
  </si>
  <si>
    <t>需谈判</t>
  </si>
  <si>
    <t>S18;S22;S23;S24</t>
  </si>
  <si>
    <t>湖北省科技厅、傅利叶智能、程天科技、邦邦机器人</t>
  </si>
  <si>
    <t>https://kjt.hubei.gov.cn/kjdt/sxkj/wh/202506/t20250617_5694588.shtml
https://www.fftai.cn/products-rehabilitation
https://www.roboct.com/
https://bangbangrobotics.com/about</t>
  </si>
  <si>
    <t>P10</t>
  </si>
  <si>
    <t>武汉都市圈康养场景复制包</t>
  </si>
  <si>
    <t>咸宁/孝感/鄂州等</t>
  </si>
  <si>
    <t>地方国资/医院/康养机构</t>
  </si>
  <si>
    <t>区域复制</t>
  </si>
  <si>
    <t>复制康复中心、运营机器人和远程服务标准包</t>
  </si>
  <si>
    <t>联合投资/输出运营/设备租赁</t>
  </si>
  <si>
    <t>单城按场景组合测算</t>
  </si>
  <si>
    <t>区域服务收入与产业辐射</t>
  </si>
  <si>
    <t>地方支付、运营能力</t>
  </si>
  <si>
    <t>需地方核实</t>
  </si>
  <si>
    <t>P11</t>
  </si>
  <si>
    <t>养老机器人国家场景试点申报</t>
  </si>
  <si>
    <t>武汉城投+市区部门+高校+企业</t>
  </si>
  <si>
    <t>政策项目</t>
  </si>
  <si>
    <t>围绕失能照护、康复、陪伴和智能环境组织联合体</t>
  </si>
  <si>
    <t>联合申报+场景开放</t>
  </si>
  <si>
    <t>财政资金与企业配套按申报指南</t>
  </si>
  <si>
    <t>2—3年</t>
  </si>
  <si>
    <t>政策资金、标准与品牌</t>
  </si>
  <si>
    <t>组织协调、绩效考核</t>
  </si>
  <si>
    <t>公开可推进</t>
  </si>
  <si>
    <t>P12</t>
  </si>
  <si>
    <t>武汉人形机器人创新中心康养专区</t>
  </si>
  <si>
    <t>武汉光谷</t>
  </si>
  <si>
    <t>创新中心+武汉城投+高校</t>
  </si>
  <si>
    <t>创新平台</t>
  </si>
  <si>
    <t>建设养老任务数据集、安全评测、仿真与真实场景联调</t>
  </si>
  <si>
    <t>共建平台/联合实验室</t>
  </si>
  <si>
    <t>建议分期1000—3000万元情景</t>
  </si>
  <si>
    <t>技术平台、企业孵化、招商</t>
  </si>
  <si>
    <t>数据合规、重复建设</t>
  </si>
  <si>
    <t>需协商</t>
  </si>
  <si>
    <t>P13</t>
  </si>
  <si>
    <t>机器人融资租赁与按效付费产品</t>
  </si>
  <si>
    <t>武汉城投金融资源+厂商</t>
  </si>
  <si>
    <t>金融产品</t>
  </si>
  <si>
    <t>降低机构一次性资本开支，将服务费与利用率/工时挂钩</t>
  </si>
  <si>
    <t>融资租赁/产业基金/保理</t>
  </si>
  <si>
    <t>首期资产池规模需内部核实</t>
  </si>
  <si>
    <t>利息/服务收益+渗透率提升</t>
  </si>
  <si>
    <t>残值、违约、效果测量</t>
  </si>
  <si>
    <t>S05;S10</t>
  </si>
  <si>
    <t>武汉市财政局、武汉市投资促进局</t>
  </si>
  <si>
    <t>https://czj.wuhan.gov.cn/FBJD/XXGKML/CZGK/dftzgs/202509/t20250903_2643258.html
https://tc.wuhan.gov.cn/zfxxgk/zc/gfxwj/202410/t20241009_2465274.shtml</t>
  </si>
  <si>
    <t>P14</t>
  </si>
  <si>
    <t>陪伴机器人安养链居家用户试验</t>
  </si>
  <si>
    <t>安养链+陪伴企业</t>
  </si>
  <si>
    <t>用户试验</t>
  </si>
  <si>
    <t>100—300户验证30/90日活跃、续费、求助转化和隐私投诉</t>
  </si>
  <si>
    <t>采购/订阅分成</t>
  </si>
  <si>
    <t>首期50—150万元情景</t>
  </si>
  <si>
    <t>1年</t>
  </si>
  <si>
    <t>筛选可持续服务模式</t>
  </si>
  <si>
    <t>活跃衰减、隐私、舆情</t>
  </si>
  <si>
    <t>S05;S40</t>
  </si>
  <si>
    <t>武汉市财政局、顶智智造</t>
  </si>
  <si>
    <t>https://czj.wuhan.gov.cn/FBJD/XXGKML/CZGK/dftzgs/202509/t20250903_2643258.html
https://www.toptechim.com/</t>
  </si>
  <si>
    <t>P15</t>
  </si>
  <si>
    <t>智能情感陪护机器人关键技术攻关与试点应用</t>
  </si>
  <si>
    <t>浙江杭州</t>
  </si>
  <si>
    <t>余杭区海创人形机器人产业创新中心</t>
  </si>
  <si>
    <t>国家试点</t>
  </si>
  <si>
    <t>入围</t>
  </si>
  <si>
    <t>情感陪护</t>
  </si>
  <si>
    <t>浙江大学、创无际、泰康之家</t>
  </si>
  <si>
    <t>技术合作/持续跟踪</t>
  </si>
  <si>
    <t>项目资金未公开；武汉合作另行测算</t>
  </si>
  <si>
    <t>试点期以主管部门安排为准</t>
  </si>
  <si>
    <t>场景验证/技术成熟后股权或采购</t>
  </si>
  <si>
    <t>项目入选不代表商业化；需核进度</t>
  </si>
  <si>
    <t>官方名单确认</t>
  </si>
  <si>
    <t>新增国家试点</t>
  </si>
  <si>
    <t>P16</t>
  </si>
  <si>
    <t>基于具身智能与心理大模型的养老服务机器人协同攻关与规模化验证</t>
  </si>
  <si>
    <t>复旦大学、上海理工大学、上海中医药大学、仁泽养老</t>
  </si>
  <si>
    <t>P17</t>
  </si>
  <si>
    <t>智能陪护机器人研发与应用</t>
  </si>
  <si>
    <t>江苏</t>
  </si>
  <si>
    <t>江苏集萃智能制造技术研究所</t>
  </si>
  <si>
    <t>河海大学、集萃适老、安康通</t>
  </si>
  <si>
    <t>成果转化/场景合作</t>
  </si>
  <si>
    <t>P18</t>
  </si>
  <si>
    <t>健康监测与情感陪伴养老机器人核心技术攻关和场景应用</t>
  </si>
  <si>
    <t>北京市科学技术研究院、寿山福海等</t>
  </si>
  <si>
    <t>P19</t>
  </si>
  <si>
    <t>智能康养外骨骼机器人结对攻关与场景应用</t>
  </si>
  <si>
    <t>康复支持</t>
  </si>
  <si>
    <t>协和医院、解放军总医院等</t>
  </si>
  <si>
    <t>康复场景验证</t>
  </si>
  <si>
    <t>P20</t>
  </si>
  <si>
    <t>智能理疗复健机器人结对攻关与场景应用</t>
  </si>
  <si>
    <t>浙江人形机器人创新中心、温州医科大学等</t>
  </si>
  <si>
    <t>理疗场景合作</t>
  </si>
  <si>
    <t>P21</t>
  </si>
  <si>
    <t>数智化老年理疗服务机器人结对攻关与场景应用</t>
  </si>
  <si>
    <t>上海钧控机器人</t>
  </si>
  <si>
    <t>法奥意威、上海中医药大学附属曙光医院等</t>
  </si>
  <si>
    <t>联合示范</t>
  </si>
  <si>
    <t>P22</t>
  </si>
  <si>
    <t>生活照料智能养老机器人攻关与应用试点</t>
  </si>
  <si>
    <t>燕达国际健康城、乐聚、松延动力等</t>
  </si>
  <si>
    <t>低风险生活任务试点</t>
  </si>
  <si>
    <t>P23</t>
  </si>
  <si>
    <t>面向智慧居家的系列养老机器人试点应用</t>
  </si>
  <si>
    <t>山东大学、泽普医疗等</t>
  </si>
  <si>
    <t>居家养老生态合作</t>
  </si>
  <si>
    <t>P24</t>
  </si>
  <si>
    <t>生活照料与康复理疗智能机器人研发与应用推广</t>
  </si>
  <si>
    <t>遨博、睿尔曼、湖北文理学院等</t>
  </si>
  <si>
    <t>企业招引/供应链合作</t>
  </si>
  <si>
    <t>P25</t>
  </si>
  <si>
    <t>面向生活照料的智能机器人研发与应用验证</t>
  </si>
  <si>
    <t>广东深圳</t>
  </si>
  <si>
    <t>招商观颐、深圳技术大学</t>
  </si>
  <si>
    <t>具身任务验证</t>
  </si>
  <si>
    <t>P26</t>
  </si>
  <si>
    <t>面向养老机构的移乘转运机器人系统研发与应用推广</t>
  </si>
  <si>
    <t>移乘转运</t>
  </si>
  <si>
    <t>国家康复辅具研究中心、新松等</t>
  </si>
  <si>
    <t>机构场景验证</t>
  </si>
  <si>
    <t>P27</t>
  </si>
  <si>
    <t>失能老人多机协同离床转运护理康复机器人系统研发与应用推广</t>
  </si>
  <si>
    <t>广东</t>
  </si>
  <si>
    <t>上海理工大学、九如城康复医院</t>
  </si>
  <si>
    <t>P28</t>
  </si>
  <si>
    <t>面向银发人群的AI助行外骨骼机器人攻关及试点应用</t>
  </si>
  <si>
    <t>北医三院、乐龄居</t>
  </si>
  <si>
    <t>联合研发/长期跟踪</t>
  </si>
  <si>
    <t>P29</t>
  </si>
  <si>
    <t>智能脑认知评估训练与康复助行机器人研发与试点应用</t>
  </si>
  <si>
    <t>中国科学院深圳先进技术研究院</t>
  </si>
  <si>
    <t>优必选医疗、国投健康等</t>
  </si>
  <si>
    <t>技术合作/场景导入</t>
  </si>
  <si>
    <t>P30</t>
  </si>
  <si>
    <t>智能养老轮椅机器人技术攻关与试点应用</t>
  </si>
  <si>
    <t>国家康复辅具研究中心、得印科技等</t>
  </si>
  <si>
    <t>轮椅场景试点</t>
  </si>
  <si>
    <t>P31</t>
  </si>
  <si>
    <t>面向长期卧床失能老人的二便护理机器人研发与应用</t>
  </si>
  <si>
    <t>二便护理</t>
  </si>
  <si>
    <t>北航、苏州康养集团等</t>
  </si>
  <si>
    <t>失能护理优先试点</t>
  </si>
  <si>
    <t>P32</t>
  </si>
  <si>
    <t>面向居家场景的助浴专用护理机器人研发及应用试点</t>
  </si>
  <si>
    <t>河南</t>
  </si>
  <si>
    <t>助浴</t>
  </si>
  <si>
    <t>长沙民政职业技术学院、南京恺迩</t>
  </si>
  <si>
    <t>居家/机构助浴验证</t>
  </si>
  <si>
    <t>P33</t>
  </si>
  <si>
    <t>移乘转运和二便护理床式机器人研发与试点应用</t>
  </si>
  <si>
    <t>湖北武汉</t>
  </si>
  <si>
    <t>二便护理/移乘</t>
  </si>
  <si>
    <t>湖北省康复辅具技术中心、湖北铠瑞博等</t>
  </si>
  <si>
    <t>武汉本地优先场景+投资尽调</t>
  </si>
  <si>
    <t>P34</t>
  </si>
  <si>
    <t>智能健康管理机器人结对攻关与场景应用</t>
  </si>
  <si>
    <t>首都医科大学及附属复兴医院</t>
  </si>
  <si>
    <t>健康管理场景验证</t>
  </si>
  <si>
    <t>P35</t>
  </si>
  <si>
    <t>智能健康监测机器人研发与试点应用</t>
  </si>
  <si>
    <t>兰州大学、当地养老机构</t>
  </si>
  <si>
    <t>区域复制观察</t>
  </si>
  <si>
    <t>P36</t>
  </si>
  <si>
    <t>养老健康管理机器人研发与试点应用</t>
  </si>
  <si>
    <t>清华大学、西安交大、北京人形机器人创新中心等</t>
  </si>
  <si>
    <t>P37</t>
  </si>
  <si>
    <t>智能养老服务机器人研究开发与推广应用</t>
  </si>
  <si>
    <t>鼎兴达、波克医疗</t>
  </si>
  <si>
    <t>P38</t>
  </si>
  <si>
    <t>面向智慧环境的智能养老服务机器人群体协作关键技术攻关及试点应用</t>
  </si>
  <si>
    <t>智慧环境</t>
  </si>
  <si>
    <t>厦门大学、标准化机构、人保财险等</t>
  </si>
  <si>
    <t>多机调度合作</t>
  </si>
  <si>
    <t>P39</t>
  </si>
  <si>
    <t>机构养老综合照护场景智能服务机器人试点应用验证</t>
  </si>
  <si>
    <t>国家康复辅具研究中心</t>
  </si>
  <si>
    <t>多场景应用</t>
  </si>
  <si>
    <t>工联院、哈工大、傅利叶等</t>
  </si>
  <si>
    <t>联合示范/标准验证</t>
  </si>
  <si>
    <t>P40</t>
  </si>
  <si>
    <t>失能失智老年人智慧护理康复解决方案试点应用</t>
  </si>
  <si>
    <t>北大、中科院深圳先进院等</t>
  </si>
  <si>
    <t>护理场景优先试点</t>
  </si>
  <si>
    <t>P41</t>
  </si>
  <si>
    <t>面向衰弱失能老人功能康复的多智能体机器人护理协作网络构建与试点应用</t>
  </si>
  <si>
    <t>广东广州</t>
  </si>
  <si>
    <t>广州市老人院</t>
  </si>
  <si>
    <t>护理协作</t>
  </si>
  <si>
    <t>力之医疗、华南理工、珠江家园</t>
  </si>
  <si>
    <t>运营指标对标</t>
  </si>
  <si>
    <t>P42</t>
  </si>
  <si>
    <t>智能护理协作养老服务机器人攻关与试点应用</t>
  </si>
  <si>
    <t>泰康之家、中国康复研究中心等</t>
  </si>
  <si>
    <t>优先接触/场景+股权</t>
  </si>
  <si>
    <t>P43</t>
  </si>
  <si>
    <t>面向多场景应用的系列化智能养老服务机器人产品开发与试点应用</t>
  </si>
  <si>
    <t>吉林</t>
  </si>
  <si>
    <t>吉林大学</t>
  </si>
  <si>
    <t>金博弘、苏州集大、澳洋优居壹佰</t>
  </si>
  <si>
    <t>P44</t>
  </si>
  <si>
    <t>基于多场景的养老陪护机器人研制与试点应用</t>
  </si>
  <si>
    <t>辽宁</t>
  </si>
  <si>
    <t>中国健康养老集团、华润医药等</t>
  </si>
  <si>
    <t>战略合作/园区招商</t>
  </si>
  <si>
    <t>P45</t>
  </si>
  <si>
    <t>面向多场景的一体化智能护理床椅机器人研发与应用</t>
  </si>
  <si>
    <t>国融乐养、上海理工大学</t>
  </si>
  <si>
    <t>P46</t>
  </si>
  <si>
    <t>多场景智能养老服务机器人研发与试点应用</t>
  </si>
  <si>
    <t>珞石（山东）智能科技</t>
  </si>
  <si>
    <t>北京科技大学、浪潮软件、解放军总医院海南医院</t>
  </si>
  <si>
    <t>P47</t>
  </si>
  <si>
    <t>下肢外骨骼步行康复器采购</t>
  </si>
  <si>
    <t>国家康复辅具研究中心附属康复医院</t>
  </si>
  <si>
    <t>政府采购</t>
  </si>
  <si>
    <t>已中标</t>
  </si>
  <si>
    <t>采购山东泽普ZEPU-AI9一台，中标价54.5万元</t>
  </si>
  <si>
    <t>采购人/供应商</t>
  </si>
  <si>
    <t>价格基准与设备试用</t>
  </si>
  <si>
    <t>54.5万元</t>
  </si>
  <si>
    <t>交付周期以合同为准</t>
  </si>
  <si>
    <t>设备使用效益</t>
  </si>
  <si>
    <t>单项目型号差异</t>
  </si>
  <si>
    <t>公开确认</t>
  </si>
  <si>
    <t>新增案例/机会</t>
  </si>
  <si>
    <t>P48</t>
  </si>
  <si>
    <t>西安市第一医院康复机器人设备采购</t>
  </si>
  <si>
    <t>西安</t>
  </si>
  <si>
    <t>西安市第一医院</t>
  </si>
  <si>
    <t>下肢康复训练机器人预算/报价样本235万元</t>
  </si>
  <si>
    <t>医院/供应商</t>
  </si>
  <si>
    <t>用于高值康复设备价格边界</t>
  </si>
  <si>
    <t>235万元/台样本</t>
  </si>
  <si>
    <t>以采购文件为准</t>
  </si>
  <si>
    <t>医疗服务收入/效率</t>
  </si>
  <si>
    <t>配置差异大</t>
  </si>
  <si>
    <t>P49</t>
  </si>
  <si>
    <t>盐田区具身智能服务机器人养老机构落地项目</t>
  </si>
  <si>
    <t>盐田区相关单位</t>
  </si>
  <si>
    <t>采购公告</t>
  </si>
  <si>
    <t>在养老机构部署具身智能服务机器人</t>
  </si>
  <si>
    <t>政府/养老机构/供应商</t>
  </si>
  <si>
    <t>案例对标/供应商跟踪</t>
  </si>
  <si>
    <t>2026年采购期</t>
  </si>
  <si>
    <t>项目服务</t>
  </si>
  <si>
    <t>验收与持续使用</t>
  </si>
  <si>
    <t>S110</t>
  </si>
  <si>
    <t>深圳市盐田区人民政府</t>
  </si>
  <si>
    <t>https://www.yantian.gov.cn/cn/zwgk/tzgg/content/post_12837483.html</t>
  </si>
  <si>
    <t>P50</t>
  </si>
  <si>
    <t>康养机器人居家场景训练场</t>
  </si>
  <si>
    <t>长沙</t>
  </si>
  <si>
    <t>长沙民政职业技术学院</t>
  </si>
  <si>
    <t>已成交</t>
  </si>
  <si>
    <t>建设康养机器人居家场景训练场</t>
  </si>
  <si>
    <t>学校/供应商</t>
  </si>
  <si>
    <t>联合人才培养与测试场景</t>
  </si>
  <si>
    <t>2025—2026</t>
  </si>
  <si>
    <t>教学/实训服务</t>
  </si>
  <si>
    <t>非真实养老运营场景</t>
  </si>
  <si>
    <t>S111</t>
  </si>
  <si>
    <t>https://www.ccgp.gov.cn/cggg/dfgg/cjgg/202605/t20260525_26623493.htm</t>
  </si>
  <si>
    <t>P51</t>
  </si>
  <si>
    <t>二便智能护理机器人机构落地</t>
  </si>
  <si>
    <t>上海浦东</t>
  </si>
  <si>
    <t>浦东新区养老机构/民政部门</t>
  </si>
  <si>
    <t>公开运行</t>
  </si>
  <si>
    <t>二便智能护理机器人进入机构场景</t>
  </si>
  <si>
    <t>机构/企业</t>
  </si>
  <si>
    <t>运营数据对标</t>
  </si>
  <si>
    <t>节省工时/护理质量</t>
  </si>
  <si>
    <t>设备使用率和维护数据未公开</t>
  </si>
  <si>
    <t>S112</t>
  </si>
  <si>
    <t>上海市浦东新区人民政府</t>
  </si>
  <si>
    <t>https://www.pudong.gov.cn/zwgk/14559.gkml_ywl_shfl/2026/183/357470.html</t>
  </si>
  <si>
    <t>P52</t>
  </si>
  <si>
    <t>武汉具身智能外骨骼研制与产业化</t>
  </si>
  <si>
    <t>武汉沃森拓客科技</t>
  </si>
  <si>
    <t>成果登记</t>
  </si>
  <si>
    <t>具身智能外骨骼研制与产业化成果</t>
  </si>
  <si>
    <t>企业/高校/场景方</t>
  </si>
  <si>
    <t>联合研发+场景验证+股权尽调</t>
  </si>
  <si>
    <t>需后续测算</t>
  </si>
  <si>
    <t>股权退出/产品收入</t>
  </si>
  <si>
    <t>资质、量产和商业化</t>
  </si>
  <si>
    <t>S83</t>
  </si>
  <si>
    <t>P53</t>
  </si>
  <si>
    <t>武汉人形机器人创新中心康养实训专区</t>
  </si>
  <si>
    <t>湖北人形机器人创新中心/场景单位</t>
  </si>
  <si>
    <t>拟议项目</t>
  </si>
  <si>
    <t>研究建议</t>
  </si>
  <si>
    <t>建设康养任务库、数据采集与安全测试专区</t>
  </si>
  <si>
    <t>创新中心/武汉城投/养老机构</t>
  </si>
  <si>
    <t>联合建设</t>
  </si>
  <si>
    <t>3000万—8000万元情景</t>
  </si>
  <si>
    <t>平台服务/项目补助/招商</t>
  </si>
  <si>
    <t>需内部立项和合规</t>
  </si>
  <si>
    <t>P54</t>
  </si>
  <si>
    <t>武汉养老机器人合作创新采购项目</t>
  </si>
  <si>
    <t>武汉城投及公开场景单位</t>
  </si>
  <si>
    <t>先购买研发服务，再采购通过验证的产品</t>
  </si>
  <si>
    <t>场景方/企业/检测机构</t>
  </si>
  <si>
    <t>合作创新采购</t>
  </si>
  <si>
    <t>1000万—3000万元情景</t>
  </si>
  <si>
    <t>1—3年</t>
  </si>
  <si>
    <t>场景效益/产业导入</t>
  </si>
  <si>
    <t>采购合规和绩效验收</t>
  </si>
  <si>
    <t>产业问题、影响与闭环解决清单</t>
  </si>
  <si>
    <t>问题按“表现—影响—解决路径—责任主体—验证指标”管理；用于投前尽调和投后赋能。</t>
  </si>
  <si>
    <t>问题ID</t>
  </si>
  <si>
    <t>问题类型</t>
  </si>
  <si>
    <t>具体表现</t>
  </si>
  <si>
    <t>产业影响</t>
  </si>
  <si>
    <t>解决路径</t>
  </si>
  <si>
    <t>责任主体</t>
  </si>
  <si>
    <t>时序</t>
  </si>
  <si>
    <t>验证指标</t>
  </si>
  <si>
    <t>IS001</t>
  </si>
  <si>
    <t>需求—产品错配</t>
  </si>
  <si>
    <t>把展示型/通用机器人直接定义为养老产品，忽略失能程度、护理流程和环境差异</t>
  </si>
  <si>
    <t>试点热闹但复购低</t>
  </si>
  <si>
    <t>按任务而非形态立项；形成老人分级、场景SOP和验收指标</t>
  </si>
  <si>
    <t>武汉城投场景平台+机构+厂商</t>
  </si>
  <si>
    <t>需求画像、试点利用率/复购</t>
  </si>
  <si>
    <t>IS002</t>
  </si>
  <si>
    <t>支付闭环不清</t>
  </si>
  <si>
    <t>居家个人支付能力有限，机构资本预算与运营预算分离</t>
  </si>
  <si>
    <t>渗透率低、回款慢</t>
  </si>
  <si>
    <t>租赁、按次、服务包、政府试点与保险支付组合</t>
  </si>
  <si>
    <t>金融平台+运营主体+厂商</t>
  </si>
  <si>
    <t>回款周期、单床成本、续费率</t>
  </si>
  <si>
    <t>S01;S08</t>
  </si>
  <si>
    <t>国务院办公厅、武汉市人民政府</t>
  </si>
  <si>
    <t>https://chinajob.mohrss.gov.cn/h5/c/2024-01-16/394987.shtml
https://www.wuhan.gov.cn/zwgk/xxgk/zfwj/bgtwj/202503/t20250321_2555479.shtml</t>
  </si>
  <si>
    <t>IS003</t>
  </si>
  <si>
    <t>安全与责任边界</t>
  </si>
  <si>
    <t>移位、排泄、翻身等直接接触老人，失效后果严重</t>
  </si>
  <si>
    <t>限制护理机器人规模化</t>
  </si>
  <si>
    <t>强监督试点、失效保护、第三方检测、保险与责任协议</t>
  </si>
  <si>
    <t>监管/检测/机构/企业</t>
  </si>
  <si>
    <t>事故/险情率、人工接管率</t>
  </si>
  <si>
    <t>IS004</t>
  </si>
  <si>
    <t>医疗器械资质与临床证据</t>
  </si>
  <si>
    <t>部分康复产品注册范围、适应症和宣传不一致</t>
  </si>
  <si>
    <t>合规与采购风险</t>
  </si>
  <si>
    <t>逐证核验NMPA、建立真实世界研究和临床评价</t>
  </si>
  <si>
    <t>医院+企业+投资方</t>
  </si>
  <si>
    <t>注册证、临床终点、有效使用率</t>
  </si>
  <si>
    <t>S32;S36</t>
  </si>
  <si>
    <t>海沁医疗、国家卫生健康委</t>
  </si>
  <si>
    <t>https://www.epmomedical.com/
https://www.nhc.gov.cn/guihuaxxs/c100132/202512/9db8db5488a748c4b1e1068a4a8c4455.shtml</t>
  </si>
  <si>
    <t>IS005</t>
  </si>
  <si>
    <t>技术泛化不足</t>
  </si>
  <si>
    <t>家庭/机构非结构环境、老人行为差异大</t>
  </si>
  <si>
    <t>人形和护理产品交付困难</t>
  </si>
  <si>
    <t>限定任务、场景结构化改造、多传感融合与远程接管</t>
  </si>
  <si>
    <t>企业+场景方</t>
  </si>
  <si>
    <t>成功率、接管率、任务时长</t>
  </si>
  <si>
    <t>IS006</t>
  </si>
  <si>
    <t>系统孤岛</t>
  </si>
  <si>
    <t>机器人、养老平台、楼宇门禁、电梯、健康数据接口不统一</t>
  </si>
  <si>
    <t>运维成本高，数据价值低</t>
  </si>
  <si>
    <t>安养链接入规范、统一设备身份、API与工单</t>
  </si>
  <si>
    <t>武汉城投+厂商</t>
  </si>
  <si>
    <t>接入周期、故障闭环、数据完整率</t>
  </si>
  <si>
    <t>IS007</t>
  </si>
  <si>
    <t>ROI证据不足</t>
  </si>
  <si>
    <t>企业多披露案例，少披露工时、利用率和全生命周期成本</t>
  </si>
  <si>
    <t>投资决策缺乏可比性</t>
  </si>
  <si>
    <t>统一试点对照、保守/基准/乐观模型与敏感性</t>
  </si>
  <si>
    <t>投资平台+机构</t>
  </si>
  <si>
    <t>回收期、单位服务成本、利用率</t>
  </si>
  <si>
    <t>S33;S34</t>
  </si>
  <si>
    <t>陕西政府采购网、中国政府采购网</t>
  </si>
  <si>
    <t>https://www.ccgp-shaanxi.gov.cn/gpx-bid-file/ZF_JGBM_000003/zone/2025/1/12/project/gpx-template/8a69c29094ffdf68019546f563223a6a.pdf?accessCode=e712c040dda797c1cf1f1cc5d32d39c8
https://www.ccgp.gov.cn/cggg/dfgg/zbgg/202605/t20260511_26544102.htm</t>
  </si>
  <si>
    <t>IS008</t>
  </si>
  <si>
    <t>售后与培训薄弱</t>
  </si>
  <si>
    <t>养老机构缺少机器人运维人员，厂商跨区域服务成本高</t>
  </si>
  <si>
    <t>停机和闲置</t>
  </si>
  <si>
    <t>区域服务中心、标准培训、备件池和SLA</t>
  </si>
  <si>
    <t>厂商+武汉城投</t>
  </si>
  <si>
    <t>开机率、故障修复时长、培训通过率</t>
  </si>
  <si>
    <t>IS009</t>
  </si>
  <si>
    <t>本地链条散而不强</t>
  </si>
  <si>
    <t>武汉有科研、部件和整机苗头，但养老专用龙头与订单不足</t>
  </si>
  <si>
    <t>产业集聚弱</t>
  </si>
  <si>
    <t>通过首购、基金、场景与园区形成锚定订单</t>
  </si>
  <si>
    <t>武汉城投+市区平台</t>
  </si>
  <si>
    <t>落地企业数、本地采购额、研发投入</t>
  </si>
  <si>
    <t>S16;S17</t>
  </si>
  <si>
    <t>武汉市人民政府、湖北省经信厅</t>
  </si>
  <si>
    <t>https://www.wuhan.gov.cn/sy/whyw/202506/t20250623_2598697.shtml
https://jxt.hubei.gov.cn/bmdt/rdjj/202506/t20250605_5680578.shtml</t>
  </si>
  <si>
    <t>IS010</t>
  </si>
  <si>
    <t>估值与概念风险</t>
  </si>
  <si>
    <t>人形/具身智能估值易脱离养老收入与现金流</t>
  </si>
  <si>
    <t>国资投资回撤风险</t>
  </si>
  <si>
    <t>分层估值、里程碑出资、对赌/回购合规审查、拒绝概念溢价</t>
  </si>
  <si>
    <t>投资平台</t>
  </si>
  <si>
    <t>养老收入、订单、现金消耗、下轮融资</t>
  </si>
  <si>
    <t>S26;S31</t>
  </si>
  <si>
    <t>优必选、武汉市投资促进局</t>
  </si>
  <si>
    <t>https://www.ubtrobot.com/cn/about/company-profile
https://tc.wuhan.gov.cn/tzwh/tzzx/202606/t20260626_2813476.shtml</t>
  </si>
  <si>
    <t>IS011</t>
  </si>
  <si>
    <t>隐私与伦理</t>
  </si>
  <si>
    <t>语音、视频、健康数据涉及敏感个人信息与老人知情同意</t>
  </si>
  <si>
    <t>合规和声誉风险</t>
  </si>
  <si>
    <t>最小化采集、端侧处理、分级授权、审计与投诉机制</t>
  </si>
  <si>
    <t>平台+机构+厂商</t>
  </si>
  <si>
    <t>授权率、数据出境/泄露事件、投诉率</t>
  </si>
  <si>
    <t>IS012</t>
  </si>
  <si>
    <t>标准与采购评价缺失</t>
  </si>
  <si>
    <t>缺少养老场景统一性能、安全、经济性指标</t>
  </si>
  <si>
    <t>采购只比价格或展示效果</t>
  </si>
  <si>
    <t>建设武汉养老机器人测试与采购标准</t>
  </si>
  <si>
    <t>政府/城投/高校/检测机构</t>
  </si>
  <si>
    <t>标准数量、通过率、采购绩效</t>
  </si>
  <si>
    <t>S02;S17</t>
  </si>
  <si>
    <t>工业和信息化部等、湖北省经信厅</t>
  </si>
  <si>
    <t>https://www.ncsti.gov.cn/kjdt/tzgg/202506/t20250610_207396.html
https://jxt.hubei.gov.cn/bmdt/rdjj/202506/t20250605_5680578.shtml</t>
  </si>
  <si>
    <t>IS013</t>
  </si>
  <si>
    <t>统计口径</t>
  </si>
  <si>
    <t>养老机器人、康复机器人、辅具和智慧养老终端边界交叉</t>
  </si>
  <si>
    <t>市场规模和企业数量不可比</t>
  </si>
  <si>
    <t>建立纳入/排除规则并标注口径</t>
  </si>
  <si>
    <t>研究团队</t>
  </si>
  <si>
    <t>立即</t>
  </si>
  <si>
    <t>100%记录含数据属性与口径</t>
  </si>
  <si>
    <t>IS014</t>
  </si>
  <si>
    <t>商业证据</t>
  </si>
  <si>
    <t>试点、目录、获奖和样机常被当作销售收入</t>
  </si>
  <si>
    <t>高估企业商业化</t>
  </si>
  <si>
    <t>将订单、交付、在用、复购、回款分层</t>
  </si>
  <si>
    <t>投资团队</t>
  </si>
  <si>
    <t>持续</t>
  </si>
  <si>
    <t>重点企业至少1项可核商业证据</t>
  </si>
  <si>
    <t>IS015</t>
  </si>
  <si>
    <t>财务透明</t>
  </si>
  <si>
    <t>非上市企业营收、毛利、现金消耗和估值不公开</t>
  </si>
  <si>
    <t>无法判断回报与融资需求</t>
  </si>
  <si>
    <t>交易前财务尽调并与流水、合同和纳税核对</t>
  </si>
  <si>
    <t>交易前</t>
  </si>
  <si>
    <t>财务核心科目完成穿透核验</t>
  </si>
  <si>
    <t>S22;S23</t>
  </si>
  <si>
    <t>傅利叶智能、程天科技</t>
  </si>
  <si>
    <t>https://www.fftai.cn/products-rehabilitation
https://www.roboct.com/</t>
  </si>
  <si>
    <t>IS016</t>
  </si>
  <si>
    <t>资质证照</t>
  </si>
  <si>
    <t>企业宣称有NMPA/FDA/CE但产品型号和有效期不清</t>
  </si>
  <si>
    <t>注册错配和合规风险</t>
  </si>
  <si>
    <t>逐产品在官方数据库核对注册人、型号、范围、有效期</t>
  </si>
  <si>
    <t>法务/技术</t>
  </si>
  <si>
    <t>重点医疗产品逐证核验率100%</t>
  </si>
  <si>
    <t>S53</t>
  </si>
  <si>
    <t>https://zwfw.nmpa.gov.cn/web/taskview/11100000MB0341032Y100207202300001</t>
  </si>
  <si>
    <t>IS017</t>
  </si>
  <si>
    <t>临床价值</t>
  </si>
  <si>
    <t>技术可用不等于临床有效和成本有效</t>
  </si>
  <si>
    <t>医院采购后利用率低</t>
  </si>
  <si>
    <t>要求真实世界数据、治疗师工时和患者结局</t>
  </si>
  <si>
    <t>医院/企业</t>
  </si>
  <si>
    <t>试点期</t>
  </si>
  <si>
    <t>形成疗效、人效和利用率三类指标</t>
  </si>
  <si>
    <t>IS018</t>
  </si>
  <si>
    <t>场景适配</t>
  </si>
  <si>
    <t>床、门、电梯、卫生间和网络接口非标准</t>
  </si>
  <si>
    <t>交付成本和故障率上升</t>
  </si>
  <si>
    <t>先做设施适配审计并标准化接口</t>
  </si>
  <si>
    <t>场景方/企业</t>
  </si>
  <si>
    <t>试点前</t>
  </si>
  <si>
    <t>非标改造成本可量化</t>
  </si>
  <si>
    <t>IS019</t>
  </si>
  <si>
    <t>数据合规</t>
  </si>
  <si>
    <t>家庭音视频、健康和认知数据长期采集</t>
  </si>
  <si>
    <t>隐私和国资合规风险</t>
  </si>
  <si>
    <t>最少采集、分级授权、本地处理和删除机制</t>
  </si>
  <si>
    <t>平台/企业</t>
  </si>
  <si>
    <t>完成数据保护影响评估</t>
  </si>
  <si>
    <t>IS020</t>
  </si>
  <si>
    <t>售后半径</t>
  </si>
  <si>
    <t>护理机器人需要清洁、耗材和快速维修</t>
  </si>
  <si>
    <t>服务成本吞噬毛利</t>
  </si>
  <si>
    <t>武汉建立备件、工单和服务SLA</t>
  </si>
  <si>
    <t>企业/运营方</t>
  </si>
  <si>
    <t>故障响应、停机时长和单台服务成本达标</t>
  </si>
  <si>
    <t>IS021</t>
  </si>
  <si>
    <t>支付闭环</t>
  </si>
  <si>
    <t>长护险主要支付服务，不当然报销设备</t>
  </si>
  <si>
    <t>错误假设设备可直接进医保/长护险</t>
  </si>
  <si>
    <t>把设备嵌入服务包并按合规口径结算</t>
  </si>
  <si>
    <t>运营方/医保研究</t>
  </si>
  <si>
    <t>单场景形成明确付费主体</t>
  </si>
  <si>
    <t>IS022</t>
  </si>
  <si>
    <t>国资投资</t>
  </si>
  <si>
    <t>技术早期、估值高、退出路径窄</t>
  </si>
  <si>
    <t>减值和问责风险</t>
  </si>
  <si>
    <t>分阶段拨款、里程碑、回购/优先权和场景对赌合规设计</t>
  </si>
  <si>
    <t>项目有明确里程碑与退出备选</t>
  </si>
  <si>
    <t>IS023</t>
  </si>
  <si>
    <t>组织协同</t>
  </si>
  <si>
    <t>投资、招商、园区、场景和采购条线分散</t>
  </si>
  <si>
    <t>无法形成资本—场景闭环</t>
  </si>
  <si>
    <t>设养老机器人联合工作组和项目经理制</t>
  </si>
  <si>
    <t>武汉城投</t>
  </si>
  <si>
    <t>每个项目有唯一牵头人和月度里程碑</t>
  </si>
  <si>
    <t>S60;S62</t>
  </si>
  <si>
    <t>武汉城投集团、武汉市财政局</t>
  </si>
  <si>
    <t>https://www.zgwhct.cn/hxgn6/
https://czj.wuhan.gov.cn/FBJD/XXGKML/CZGK/dftzgs/202509/t20250903_2643258.html</t>
  </si>
  <si>
    <t>IS024</t>
  </si>
  <si>
    <t>人因接受</t>
  </si>
  <si>
    <t>老人、家属和护理员接受度差异大</t>
  </si>
  <si>
    <t>设备闲置或被绕开</t>
  </si>
  <si>
    <t>试点前共创、培训和持续反馈</t>
  </si>
  <si>
    <t>养老机构/企业</t>
  </si>
  <si>
    <t>激活率、周活、任务完成率和满意度达标</t>
  </si>
  <si>
    <t>武汉城投及公开可协同资源增强清单</t>
  </si>
  <si>
    <t>严格区分“武汉城投公开资源”“武汉市外部可协同资源”“湖北/都市圈协同资源”；未公开内容统一列为待核实。</t>
  </si>
  <si>
    <t>资源ID</t>
  </si>
  <si>
    <t>归属</t>
  </si>
  <si>
    <t>具体主体/资源</t>
  </si>
  <si>
    <t>资源类型</t>
  </si>
  <si>
    <t>所在地</t>
  </si>
  <si>
    <t>公开确认内容</t>
  </si>
  <si>
    <t>运营情况</t>
  </si>
  <si>
    <t>可协同方式</t>
  </si>
  <si>
    <t>待核实事项</t>
  </si>
  <si>
    <t>RS001</t>
  </si>
  <si>
    <t>安养链</t>
  </si>
  <si>
    <t>养老服务平台/渠道</t>
  </si>
  <si>
    <t>注册用户100万、商户2000；首批上线726家服务机构、9400项产品</t>
  </si>
  <si>
    <t>机器人产品上架、用户招募、服务支付和数据闭环</t>
  </si>
  <si>
    <t>平台接口、活跃交易与内部运营数据需后续内部核实</t>
  </si>
  <si>
    <t>RS002</t>
  </si>
  <si>
    <t>养老服务网络</t>
  </si>
  <si>
    <t>机构/社区场景</t>
  </si>
  <si>
    <t>2个区级养老保障中心、4个街道养老综合体、33个社区点位、11个幸福食堂、3个老年教育点，1368张床位</t>
  </si>
  <si>
    <t>运营情况以公开简介为准</t>
  </si>
  <si>
    <t>多类型试点、集采和标准复制</t>
  </si>
  <si>
    <t>具体点位、入住率、采购权属需后续内部核实</t>
  </si>
  <si>
    <t>RS003</t>
  </si>
  <si>
    <t>健康养老业务‘安养链’体系</t>
  </si>
  <si>
    <t>医养康养运营</t>
  </si>
  <si>
    <t>公开定位为机构+居家、线上+线下、医疗+康养</t>
  </si>
  <si>
    <t>康复、监测、陪伴和服务运营协同</t>
  </si>
  <si>
    <t>具体医院/合作机构清单需后续内部核实</t>
  </si>
  <si>
    <t>S06</t>
  </si>
  <si>
    <t>武汉城投集团</t>
  </si>
  <si>
    <t>https://www.zgwhct.cn/hxgn6/</t>
  </si>
  <si>
    <t>RS004</t>
  </si>
  <si>
    <t>武汉城投可协同公开资源</t>
  </si>
  <si>
    <t>武汉康养集团</t>
  </si>
  <si>
    <t>康养运营平台</t>
  </si>
  <si>
    <t>武汉文旅集团与武汉城投共同组建，功能保障型国企，公开目标服务2万户家庭</t>
  </si>
  <si>
    <t>已成立</t>
  </si>
  <si>
    <t>承接康养项目、居家服务与机器人示范</t>
  </si>
  <si>
    <t>股权关系、项目清单、采购权限需后续内部核实</t>
  </si>
  <si>
    <t>S09</t>
  </si>
  <si>
    <t>https://3g.wuhan.gov.cn/sy/whyw/202402/t20240229_2365503.shtml</t>
  </si>
  <si>
    <t>RS005</t>
  </si>
  <si>
    <t>房地产与物业服务</t>
  </si>
  <si>
    <t>住宅/社区/物业场景</t>
  </si>
  <si>
    <t>累计房地产开发约2000万平方米、物业服务约690万平方米、公共住房约42万平方米</t>
  </si>
  <si>
    <t>居家/社区适老化、配送清洁、楼宇接口测试</t>
  </si>
  <si>
    <t>具体项目和住户画像需后续内部核实</t>
  </si>
  <si>
    <t>RS006</t>
  </si>
  <si>
    <t>武汉停车与城市运营</t>
  </si>
  <si>
    <t>城市服务/数字平台</t>
  </si>
  <si>
    <t>公开简介含5300个停车场、155万个泊位、270万用户</t>
  </si>
  <si>
    <t>机器人调度、城市运营平台与数字化能力迁移</t>
  </si>
  <si>
    <t>与养老业务协同机制需后续内部核实</t>
  </si>
  <si>
    <t>RS007</t>
  </si>
  <si>
    <t>武汉市外部可协同资源</t>
  </si>
  <si>
    <t>养老设施扩容计划</t>
  </si>
  <si>
    <t>新增机构/社区场景</t>
  </si>
  <si>
    <t>2025—2027年不少于100个项目、新增1万张床位、建设改造不少于1000个社区和助餐设施</t>
  </si>
  <si>
    <t>规划实施中</t>
  </si>
  <si>
    <t>新建设施预留机器人接口、统一采购标准</t>
  </si>
  <si>
    <t>具体项目进度需逐项核实</t>
  </si>
  <si>
    <t>RS008</t>
  </si>
  <si>
    <t>武汉基金/江城基金</t>
  </si>
  <si>
    <t>产业资本</t>
  </si>
  <si>
    <t>政府投资基金全生命周期支持体系</t>
  </si>
  <si>
    <t>按政策运行</t>
  </si>
  <si>
    <t>子基金、直投、招商联动</t>
  </si>
  <si>
    <t>武汉城投可参与方式需后续内部核实</t>
  </si>
  <si>
    <t>RS009</t>
  </si>
  <si>
    <t>机器人谷/三大片区</t>
  </si>
  <si>
    <t>园区/招商/中试</t>
  </si>
  <si>
    <t>光谷、南太子湖、汉江湾</t>
  </si>
  <si>
    <t>公开信息含1万平方米以上创新空间；光谷零部件覆盖率等产业基础</t>
  </si>
  <si>
    <t>建设中</t>
  </si>
  <si>
    <t>企业导入、中试、供应链协同</t>
  </si>
  <si>
    <t>与武汉城投具体合作机制需核实</t>
  </si>
  <si>
    <t>RS010</t>
  </si>
  <si>
    <t>研发验证/孵化</t>
  </si>
  <si>
    <t>开放共享、研发验证、产业孵化与招商平台</t>
  </si>
  <si>
    <t>运营/建设中</t>
  </si>
  <si>
    <t>共建康养任务数据、评测和联合实验室</t>
  </si>
  <si>
    <t>合作条款需协商</t>
  </si>
  <si>
    <t>RS011</t>
  </si>
  <si>
    <t>高校科研机构</t>
  </si>
  <si>
    <t>科研/人才/临床工程</t>
  </si>
  <si>
    <t>华中科技大学、武汉大学、武汉理工大学等机器人、AI、医学资源</t>
  </si>
  <si>
    <t>持续运行</t>
  </si>
  <si>
    <t>联合研发、成果转化、临床验证与人才</t>
  </si>
  <si>
    <t>具体团队和知识产权需项目化核实</t>
  </si>
  <si>
    <t>S19</t>
  </si>
  <si>
    <t>武汉理工大学</t>
  </si>
  <si>
    <t>https://wutinfo.whut.edu.cn/yjspy/dsjs/202401/t20240130_579369.shtml</t>
  </si>
  <si>
    <t>RS012</t>
  </si>
  <si>
    <t>武汉都市圈资源</t>
  </si>
  <si>
    <t>科峰传动及黄冈供应链</t>
  </si>
  <si>
    <t>核心零部件/制造</t>
  </si>
  <si>
    <t>精密行星/谐波减速器、丝杠、电动缸和关节模组</t>
  </si>
  <si>
    <t>核心部件投资与扩产承载</t>
  </si>
  <si>
    <t>订单、产能与资本计划需尽调</t>
  </si>
  <si>
    <t>RS013</t>
  </si>
  <si>
    <t>黄石机器人产业平台</t>
  </si>
  <si>
    <t>制造/园区</t>
  </si>
  <si>
    <t>地方行动计划提出到2027年百家企业、百亿产值等目标</t>
  </si>
  <si>
    <t>规划推进</t>
  </si>
  <si>
    <t>成本型制造、园区联动和招商承载</t>
  </si>
  <si>
    <t>具体园区和项目进度需核实</t>
  </si>
  <si>
    <t>RS014</t>
  </si>
  <si>
    <t>咸宁/孝感/鄂州医疗康养场景</t>
  </si>
  <si>
    <t>康养/医疗/区域复制</t>
  </si>
  <si>
    <t>武汉都市圈</t>
  </si>
  <si>
    <t>具备都市圈区位和各类医疗康养场景，具体清单未逐项公开确认</t>
  </si>
  <si>
    <t>需核实</t>
  </si>
  <si>
    <t>康养示范、康复网络和服务复制</t>
  </si>
  <si>
    <t>统一标注需后续地方/内部核实</t>
  </si>
  <si>
    <t>RS015</t>
  </si>
  <si>
    <t>武汉城投健康养老核心功能</t>
  </si>
  <si>
    <t>康养产业平台</t>
  </si>
  <si>
    <t>公开提出以安养链功能完善和平台运营为核心，构建机构+居家、线上+线下、医养+康养体系</t>
  </si>
  <si>
    <t>持续布局</t>
  </si>
  <si>
    <t>产品接入、场景组织、运营数据</t>
  </si>
  <si>
    <t>具体项目清单和采购权限需内部核实</t>
  </si>
  <si>
    <t>S60</t>
  </si>
  <si>
    <t>RS016</t>
  </si>
  <si>
    <t>武汉健康养老集团</t>
  </si>
  <si>
    <t>汉阳区</t>
  </si>
  <si>
    <t>由武汉文旅集团和武汉城投集团共同出资；目标承接机构、床位和居家用户服务</t>
  </si>
  <si>
    <t>场景试点、运营服务、区域复制</t>
  </si>
  <si>
    <t>实际床位、机构和运营数据需内部核实</t>
  </si>
  <si>
    <t>S61</t>
  </si>
  <si>
    <t>https://www.wuhan.gov.cn/sy/whyw/202402/t20240229_2365503.shtml</t>
  </si>
  <si>
    <t>RS017</t>
  </si>
  <si>
    <t>武汉银发生活安养链平台</t>
  </si>
  <si>
    <t>养老服务供应链平台</t>
  </si>
  <si>
    <t>公开信息显示首批上链为老服务主体726家、产品9400个</t>
  </si>
  <si>
    <t>已上线</t>
  </si>
  <si>
    <t>产品筛选、居家触达、服务转介</t>
  </si>
  <si>
    <t>数据时点、活跃用户、交易和接口需内部核实</t>
  </si>
  <si>
    <t>S106</t>
  </si>
  <si>
    <t>武汉市财政局/民政局</t>
  </si>
  <si>
    <t>https://mzj.wuhan.gov.cn/zwgk_918/fdzdgk/czzj/202510/P020251011400514790950.pdf</t>
  </si>
  <si>
    <t>RS018</t>
  </si>
  <si>
    <t>武汉城投集团城市服务与设施运营能力</t>
  </si>
  <si>
    <t>城市服务/设施</t>
  </si>
  <si>
    <t>公开简介确认集团为供水、污水、供气、公共设施、会展、养老等产业主体</t>
  </si>
  <si>
    <t>在运营</t>
  </si>
  <si>
    <t>社区/物业/公共设施低风险机器人场景</t>
  </si>
  <si>
    <t>具体场景清单及权属需内部核实</t>
  </si>
  <si>
    <t>S62</t>
  </si>
  <si>
    <t>RS019</t>
  </si>
  <si>
    <t>提供数据采集、技术验证和场景试验等共性服务</t>
  </si>
  <si>
    <t>公开建设运营</t>
  </si>
  <si>
    <t>康养实训专区、数据和安全测试</t>
  </si>
  <si>
    <t>合作机制和收费需核实</t>
  </si>
  <si>
    <t>RS020</t>
  </si>
  <si>
    <t>产业基金</t>
  </si>
  <si>
    <t>公开信息提出由武汉基金、江城基金分别引导设立10亿元基金</t>
  </si>
  <si>
    <t>公开推进</t>
  </si>
  <si>
    <t>联合基金、跟投和项目招引</t>
  </si>
  <si>
    <t>设立、实缴、管理人和投资权限需核实</t>
  </si>
  <si>
    <t>RS021</t>
  </si>
  <si>
    <t>湖北省外部可协同资源</t>
  </si>
  <si>
    <t>产业母基金</t>
  </si>
  <si>
    <t>公开信息称规模100亿元</t>
  </si>
  <si>
    <t>公开设立信息</t>
  </si>
  <si>
    <t>子基金合作和项目导入</t>
  </si>
  <si>
    <t>出资结构、实缴和投资策略需核实</t>
  </si>
  <si>
    <t>RS022</t>
  </si>
  <si>
    <t>武汉高校院士与机器人团队</t>
  </si>
  <si>
    <t>科研/人才</t>
  </si>
  <si>
    <t>华科大、武大、武汉理工等具备机械、AI、医疗康复和机器人基础</t>
  </si>
  <si>
    <t>持续研发</t>
  </si>
  <si>
    <t>联合实验室、成果转化、人才培养</t>
  </si>
  <si>
    <t>具体团队和知识产权逐项目核实</t>
  </si>
  <si>
    <t>S81;S19</t>
  </si>
  <si>
    <t>湖北省科学技术厅、武汉理工大学</t>
  </si>
  <si>
    <t>https://kjt.hubei.gov.cn/kjdt/sxkj/wh/202507/t20250721_5727167.shtml
https://wutinfo.whut.edu.cn/yjspy/dsjs/202401/t20240130_579369.shtml</t>
  </si>
  <si>
    <t>RS023</t>
  </si>
  <si>
    <t>武汉都市圈协同资源</t>
  </si>
  <si>
    <t>黄冈科峰智能关节制造</t>
  </si>
  <si>
    <t>核心部件制造</t>
  </si>
  <si>
    <t>公开为武汉人形机器人整机提供关节</t>
  </si>
  <si>
    <t>产品下线</t>
  </si>
  <si>
    <t>武汉研发+黄冈制造协同</t>
  </si>
  <si>
    <t>产能、客户和经营数据需核</t>
  </si>
  <si>
    <t>RS024</t>
  </si>
  <si>
    <t>鄂州华威科电子皮肤制造</t>
  </si>
  <si>
    <t>触觉部件</t>
  </si>
  <si>
    <t>鄂州/武汉都市圈</t>
  </si>
  <si>
    <t>公开披露电子皮肤量产与1克级感知能力</t>
  </si>
  <si>
    <t>批量化推进</t>
  </si>
  <si>
    <t>护理机器人触觉与灵巧手验证</t>
  </si>
  <si>
    <t>市场份额和交付需审计</t>
  </si>
  <si>
    <t>S59;S81</t>
  </si>
  <si>
    <t>https://3g.wuhan.gov.cn/sy/whyw/202506/t20250623_2598697.shtml
https://kjt.hubei.gov.cn/kjdt/sxkj/wh/202507/t20250721_5727167.shtml</t>
  </si>
  <si>
    <t>RS025</t>
  </si>
  <si>
    <t>孝感传感与精密传动产业</t>
  </si>
  <si>
    <t>传感/制造</t>
  </si>
  <si>
    <t>公开报道飞恩微电子等带动传感器和精密传动企业集聚</t>
  </si>
  <si>
    <t>产业集聚</t>
  </si>
  <si>
    <t>传感器和部件制造协同</t>
  </si>
  <si>
    <t>企业清单和养老适配需核</t>
  </si>
  <si>
    <t>RS026</t>
  </si>
  <si>
    <t>武汉养老设施建设计划</t>
  </si>
  <si>
    <t>养老场景网络</t>
  </si>
  <si>
    <t>武汉各区</t>
  </si>
  <si>
    <t>养老设施三年行动计划明确新建、改造、共建和盘活路径</t>
  </si>
  <si>
    <t>规划实施</t>
  </si>
  <si>
    <t>在设施改造中预留机器人接口和示范空间</t>
  </si>
  <si>
    <t>具体项目进度需逐区核实</t>
  </si>
  <si>
    <t>产品方向、企业及项目综合评分</t>
  </si>
  <si>
    <t>评分为公开资料基础上的研究判断；风险维度5分代表风险较可控。正式投资需以尽调结果更新。</t>
  </si>
  <si>
    <t>产品方向权重（合计100）</t>
  </si>
  <si>
    <t>维度</t>
  </si>
  <si>
    <t>权重</t>
  </si>
  <si>
    <t>依据</t>
  </si>
  <si>
    <t>方向</t>
  </si>
  <si>
    <t>老年人需求刚性</t>
  </si>
  <si>
    <t>市场规模及增速</t>
  </si>
  <si>
    <t>技术成熟度</t>
  </si>
  <si>
    <t>商业化程度</t>
  </si>
  <si>
    <t>资质门槛可控性</t>
  </si>
  <si>
    <t>采购/付费主体明确</t>
  </si>
  <si>
    <t>价格与支付能力</t>
  </si>
  <si>
    <t>采购及服务闭环</t>
  </si>
  <si>
    <t>机构降本增效</t>
  </si>
  <si>
    <t>与武汉城投公开资源协同</t>
  </si>
  <si>
    <t>武汉场景验证可行</t>
  </si>
  <si>
    <t>投资标的丰富度</t>
  </si>
  <si>
    <t>财务回报潜力</t>
  </si>
  <si>
    <t>技术/市场/合规风险可控</t>
  </si>
  <si>
    <t>综合得分</t>
  </si>
  <si>
    <t>布局类别</t>
  </si>
  <si>
    <t>研判</t>
  </si>
  <si>
    <t>养老服务首先解决功能损失和照护缺口，权重最高</t>
  </si>
  <si>
    <t>近期优先布局</t>
  </si>
  <si>
    <t>医院/康复中心采购明确，医疗器械资质形成壁垒；重点通过示范中心、租赁和服务提升利用率</t>
  </si>
  <si>
    <t>决定长期空间，但避免用宏观大市场替代可服务市场</t>
  </si>
  <si>
    <t>中期培育＋场景试点</t>
  </si>
  <si>
    <t>物理护理刚需最强但安全与复杂接触制约商业化；先从配送、清洁、巡检、监测等运营型产品切入</t>
  </si>
  <si>
    <t>直接影响安全、可靠性和交付</t>
  </si>
  <si>
    <t>陪伴机器人</t>
  </si>
  <si>
    <t>场景试点验证</t>
  </si>
  <si>
    <t>硬件同质化和个人付费弱，价值在服务入口、活跃度与平台转化；采用小额试点和订阅验证</t>
  </si>
  <si>
    <t>投资与场景落地需要真实订单和运维能力</t>
  </si>
  <si>
    <t>高门槛可形成壁垒，也会拉长兑现周期；分值越高越可控</t>
  </si>
  <si>
    <t>能否形成预算与回款闭环</t>
  </si>
  <si>
    <t>决定渗透率与租赁必要性</t>
  </si>
  <si>
    <t>是否可形成持续服务收入与复购</t>
  </si>
  <si>
    <t>武汉城投场景协同的核心量化价值</t>
  </si>
  <si>
    <t>资本、场景、平台、物业与园区能否赋能</t>
  </si>
  <si>
    <t>短期可落地性</t>
  </si>
  <si>
    <t>保证可选择性与组合配置</t>
  </si>
  <si>
    <t>兼顾产业目标和资本纪律</t>
  </si>
  <si>
    <t>分值越高代表风险越可控</t>
  </si>
  <si>
    <t>战略协同15</t>
  </si>
  <si>
    <t>商业化15</t>
  </si>
  <si>
    <t>技术15</t>
  </si>
  <si>
    <t>武汉落地15</t>
  </si>
  <si>
    <t>场景价值15</t>
  </si>
  <si>
    <t>补链10</t>
  </si>
  <si>
    <t>财务8</t>
  </si>
  <si>
    <t>合规7</t>
  </si>
  <si>
    <t>综合分</t>
  </si>
  <si>
    <t>项目</t>
  </si>
  <si>
    <t>战略20</t>
  </si>
  <si>
    <t>可行性15</t>
  </si>
  <si>
    <t>成熟度15</t>
  </si>
  <si>
    <t>协同15</t>
  </si>
  <si>
    <t>带动15</t>
  </si>
  <si>
    <t>财务10</t>
  </si>
  <si>
    <t>合规10</t>
  </si>
  <si>
    <t>养老机器人场景ROI三情景测算</t>
  </si>
  <si>
    <t>蓝字浅黄底为可调整假设；黑字为公式。测算仅用于场景筛选，不代表任何机构已实现的经营成果。金额单位：万元。</t>
  </si>
  <si>
    <t>模型ID</t>
  </si>
  <si>
    <t>场景</t>
  </si>
  <si>
    <t>情景</t>
  </si>
  <si>
    <t>设备数量</t>
  </si>
  <si>
    <t>安装改造</t>
  </si>
  <si>
    <t>年维护率</t>
  </si>
  <si>
    <t>使用年限</t>
  </si>
  <si>
    <t>节省FTE</t>
  </si>
  <si>
    <t>人均年成本</t>
  </si>
  <si>
    <t>新增服务量/年</t>
  </si>
  <si>
    <t>单次贡献(元)</t>
  </si>
  <si>
    <t>补贴/年</t>
  </si>
  <si>
    <t>年毛收益</t>
  </si>
  <si>
    <t>年维护成本</t>
  </si>
  <si>
    <t>年净收益</t>
  </si>
  <si>
    <t>初始投入</t>
  </si>
  <si>
    <t>回收期(年)</t>
  </si>
  <si>
    <t>生命周期净收益</t>
  </si>
  <si>
    <t>生命周期ROI</t>
  </si>
  <si>
    <t>核心假设</t>
  </si>
  <si>
    <t>适用边界</t>
  </si>
  <si>
    <t>R01</t>
  </si>
  <si>
    <t>200床机构配送/巡检机器人</t>
  </si>
  <si>
    <t>保守</t>
  </si>
  <si>
    <t>S38;S39;S45</t>
  </si>
  <si>
    <t>普渡机器人、擎朗智能、公开招聘平台样本</t>
  </si>
  <si>
    <t>以减少往返和夜间巡检工时计，不按完全替代岗位</t>
  </si>
  <si>
    <t>动线结构化、允许电梯门禁改造</t>
  </si>
  <si>
    <t>基准</t>
  </si>
  <si>
    <t>任务高频且能纳入护理排班</t>
  </si>
  <si>
    <t>不承担跌倒等高风险处置</t>
  </si>
  <si>
    <t>乐观</t>
  </si>
  <si>
    <t>多机调度成熟、跨楼层运行稳定</t>
  </si>
  <si>
    <t>利用率高且维护响应及时</t>
  </si>
  <si>
    <t>R02</t>
  </si>
  <si>
    <t>失能护理二便机器人（20床）</t>
  </si>
  <si>
    <t>S70;S72;S87;S112</t>
  </si>
  <si>
    <t>作为科技、得印科技、呵康科技、上海市浦东新区人民政府</t>
  </si>
  <si>
    <t>穿戴、清洗仍需较多人工</t>
  </si>
  <si>
    <t>仅适用于长期卧床且同意使用者</t>
  </si>
  <si>
    <t>减少换洗与夜间排泄处理工时</t>
  </si>
  <si>
    <t>耗材和皮肤安全需持续监测</t>
  </si>
  <si>
    <t>高使用率且耗材集采降低成本</t>
  </si>
  <si>
    <t>不等于完全替代护理人员</t>
  </si>
  <si>
    <t>R03</t>
  </si>
  <si>
    <t>康复机器人服务点（1台）</t>
  </si>
  <si>
    <t>S74;S75;S88;S89</t>
  </si>
  <si>
    <t>中国政府采购网、陕西省政府采购网、伟思医疗、翔宇医疗</t>
  </si>
  <si>
    <t>以高配置设备和低利用率测算</t>
  </si>
  <si>
    <t>需注册资质、治疗师和收费项目</t>
  </si>
  <si>
    <t>日均约6次、年300天，贡献为扣除直接耗材后的服务贡献</t>
  </si>
  <si>
    <t>不含场地机会成本和回款周期</t>
  </si>
  <si>
    <t>参考公开中标价并假设高利用率</t>
  </si>
  <si>
    <t>单一中标价不代表通用采购价</t>
  </si>
  <si>
    <t>R04</t>
  </si>
  <si>
    <t>居家陪伴机器人运营（100户口径）</t>
  </si>
  <si>
    <t>S68;S84;S85;S45</t>
  </si>
  <si>
    <t>优必选、康伴机器人、萌特博智能机器人、公开招聘平台样本</t>
  </si>
  <si>
    <t>仅50户激活、低订阅贡献</t>
  </si>
  <si>
    <t>需人工坐席/上门服务，闲置风险高</t>
  </si>
  <si>
    <t>每户每月1次计量单元，贡献60元</t>
  </si>
  <si>
    <t>依赖活跃、续费和异常处置闭环</t>
  </si>
  <si>
    <t>规模采购降本并形成服务转化</t>
  </si>
  <si>
    <t>需验证隐私、售后和家庭支付</t>
  </si>
  <si>
    <t>敏感性：投资回收期对设备单价、利用率/节省FTE、维护率最敏感；陪伴机器人还高度依赖激活率和续费。正式项目应替换为机构真实排班、故障、任务量和收费数据。</t>
  </si>
  <si>
    <t>数据来源与审计索引</t>
  </si>
  <si>
    <t>来源ID连续保留S01—S46，本轮新增从S47续编；图中显示来源使用“发布主体”字段，来源ID仅用于内部追溯。</t>
  </si>
  <si>
    <t>资料名称</t>
  </si>
  <si>
    <t>发布日期/查询日</t>
  </si>
  <si>
    <t>类别</t>
  </si>
  <si>
    <t>可信度</t>
  </si>
  <si>
    <t>来源状态</t>
  </si>
  <si>
    <t>证据类型</t>
  </si>
  <si>
    <t>信息更新时间</t>
  </si>
  <si>
    <t>核验状态</t>
  </si>
  <si>
    <t>关于发展银发经济增进老年人福祉的意见（国办发〔2024〕1号）</t>
  </si>
  <si>
    <t>2024-01-15</t>
  </si>
  <si>
    <t>国家政策</t>
  </si>
  <si>
    <t>原库继承</t>
  </si>
  <si>
    <t>一手/官方</t>
  </si>
  <si>
    <t>已完成基础核验</t>
  </si>
  <si>
    <t>2025-06-10</t>
  </si>
  <si>
    <t>2025年人口数据解读</t>
  </si>
  <si>
    <t>2026-01-19</t>
  </si>
  <si>
    <t>World Robotics 2025—Service Robots</t>
  </si>
  <si>
    <t>市场/出货</t>
  </si>
  <si>
    <t>企业披露/二手</t>
  </si>
  <si>
    <t>武汉市城市建设投资开发集团有限公司公开简介</t>
  </si>
  <si>
    <t>2026-03-18</t>
  </si>
  <si>
    <t>武汉城投资源</t>
  </si>
  <si>
    <t>健康养老业务公开介绍</t>
  </si>
  <si>
    <t>2026-07查询</t>
  </si>
  <si>
    <t>S07</t>
  </si>
  <si>
    <t>2024年度养老服务工作公开报告</t>
  </si>
  <si>
    <t>武汉养老场景</t>
  </si>
  <si>
    <t>武汉市养老服务设施建设三年行动方案（2025—2027年）</t>
  </si>
  <si>
    <t>2025-03-21</t>
  </si>
  <si>
    <t>武汉康养集团成立相关公开信息</t>
  </si>
  <si>
    <t>2024-02-29</t>
  </si>
  <si>
    <t>武汉基金、江城基金管理办法相关公开政策</t>
  </si>
  <si>
    <t>2024-10-09</t>
  </si>
  <si>
    <t>资本平台</t>
  </si>
  <si>
    <t>S11</t>
  </si>
  <si>
    <t>武汉市2025年国民经济和社会发展统计公报</t>
  </si>
  <si>
    <t>2026-04-08</t>
  </si>
  <si>
    <t>https://tjj.wuhan.gov.cn/tjfw/tjgb/202604/t20260408_2750693.shtml</t>
  </si>
  <si>
    <t>武汉宏观</t>
  </si>
  <si>
    <t>武汉市第七次人口普查公报</t>
  </si>
  <si>
    <t>2021-05-28</t>
  </si>
  <si>
    <t>武汉人口</t>
  </si>
  <si>
    <t>武汉市康复辅助器具产业国家综合创新试点实施方案</t>
  </si>
  <si>
    <t>2021-12-03</t>
  </si>
  <si>
    <t>产业基础</t>
  </si>
  <si>
    <t>2026-03-23</t>
  </si>
  <si>
    <t>AI/场景</t>
  </si>
  <si>
    <t>湖北省‘十五五’规划相关公开信息</t>
  </si>
  <si>
    <t>2026-04-23</t>
  </si>
  <si>
    <t>区域政策</t>
  </si>
  <si>
    <t>武汉机器人产业集聚区/机器人谷建设信息</t>
  </si>
  <si>
    <t>2025-06-23</t>
  </si>
  <si>
    <t>产业集群</t>
  </si>
  <si>
    <t>湖北人形机器人创新中心公开信息</t>
  </si>
  <si>
    <t>2025-06-05</t>
  </si>
  <si>
    <t>武汉人形机器人产业支持政策</t>
  </si>
  <si>
    <t>2025-06-17</t>
  </si>
  <si>
    <t>产业政策</t>
  </si>
  <si>
    <t>软驱动外骨骼康复机器人科研团队介绍</t>
  </si>
  <si>
    <t>2024-01-30</t>
  </si>
  <si>
    <t>科研</t>
  </si>
  <si>
    <t>黄石市机器人产业行动计划公开信息</t>
  </si>
  <si>
    <t>2025-10-20</t>
  </si>
  <si>
    <t>区域产业</t>
  </si>
  <si>
    <t>公司与机器人核心零部件公开介绍</t>
  </si>
  <si>
    <t>企业官网</t>
  </si>
  <si>
    <t>公司与智能康复产品公开介绍</t>
  </si>
  <si>
    <t>外骨骼产品与公司公开介绍</t>
  </si>
  <si>
    <t>公司、产品与融资公开介绍</t>
  </si>
  <si>
    <t>2025年年度报告</t>
  </si>
  <si>
    <t>上市公司年报</t>
  </si>
  <si>
    <t>公司与智慧康养解决方案公开介绍</t>
  </si>
  <si>
    <t>2026-04-20</t>
  </si>
  <si>
    <t>2026-04-28</t>
  </si>
  <si>
    <t>2026-03-31</t>
  </si>
  <si>
    <t>武汉沃森拓客外骨骼机器人成果登记</t>
  </si>
  <si>
    <t>2025-03-20</t>
  </si>
  <si>
    <t>武汉项目</t>
  </si>
  <si>
    <t>光谷东智智慧康养解决方案公开信息</t>
  </si>
  <si>
    <t>2026-06-26</t>
  </si>
  <si>
    <t>公司与康复机器人注册公开介绍</t>
  </si>
  <si>
    <t>下肢康复机器人采购预算150万元/套案例</t>
  </si>
  <si>
    <t>采购价格</t>
  </si>
  <si>
    <t>手功能康复机器人2.5万元/台中标案例</t>
  </si>
  <si>
    <t>2026-05-11</t>
  </si>
  <si>
    <t>S35</t>
  </si>
  <si>
    <t>硚口区人民政府</t>
  </si>
  <si>
    <t>养老服务集市外骨骼机器人体验</t>
  </si>
  <si>
    <t>2025-04-03</t>
  </si>
  <si>
    <t>https://www.qiaokou.gov.cn/qkxw/spfb/202504/t20250403_2562201.shtml</t>
  </si>
  <si>
    <t>武汉场景</t>
  </si>
  <si>
    <t>2024年我国卫生健康事业发展统计公报</t>
  </si>
  <si>
    <t>2025-12</t>
  </si>
  <si>
    <t>医疗供给</t>
  </si>
  <si>
    <t>武汉市养老服务条例相关公开信息</t>
  </si>
  <si>
    <t>2025-06-26</t>
  </si>
  <si>
    <t>地方政策</t>
  </si>
  <si>
    <t>清洁与配送机器人产品公开介绍</t>
  </si>
  <si>
    <t>服务机器人产品与场景公开介绍</t>
  </si>
  <si>
    <t>养老陪伴与医疗移动平台公开介绍</t>
  </si>
  <si>
    <t>失能老人护理机器人公开介绍</t>
  </si>
  <si>
    <t>S42</t>
  </si>
  <si>
    <t>手智创新艾灸机器人价格及落地信息</t>
  </si>
  <si>
    <t>2026-04-09</t>
  </si>
  <si>
    <t>https://kjj.wuhan.gov.cn/xwzx_8/kjspxw/202604/t20260409_2750862.html</t>
  </si>
  <si>
    <t>S43</t>
  </si>
  <si>
    <t>武汉市发展改革委</t>
  </si>
  <si>
    <t>光谷东智全国总部落地信息</t>
  </si>
  <si>
    <t>2025-03-31</t>
  </si>
  <si>
    <t>https://fgw.wuhan.gov.cn/xwzx/mtgz/202503/t20250331_2560423.html</t>
  </si>
  <si>
    <t>招商项目</t>
  </si>
  <si>
    <t>S44</t>
  </si>
  <si>
    <t>武汉市商务局</t>
  </si>
  <si>
    <t>武汉人形机器人7S店公开信息</t>
  </si>
  <si>
    <t>2025-11-12</t>
  </si>
  <si>
    <t>https://sw.wuhan.gov.cn/xwdt/gzdt/202511/t20251112_2675851.shtml</t>
  </si>
  <si>
    <t>产业生态</t>
  </si>
  <si>
    <t>武汉养老护理/护工岗位公开招聘薪酬样本（常见5000—9000元/月）</t>
  </si>
  <si>
    <t>人工成本代理</t>
  </si>
  <si>
    <t>2025-02-28</t>
  </si>
  <si>
    <t>智能养老服务机器人结对攻关与场景应用试点项目名单通知</t>
  </si>
  <si>
    <t>2025-09-12</t>
  </si>
  <si>
    <t>https://www.miit.gov.cn/jgsj/zbys/wjfb/art/2025/art_cabcb5c6939e49d2b11eadd6c160d1c1.html</t>
  </si>
  <si>
    <t>国家政策/项目</t>
  </si>
  <si>
    <t>本轮新增</t>
  </si>
  <si>
    <t>智能养老服务机器人结对攻关与场景应用试点项目名单（32项）</t>
  </si>
  <si>
    <t>2025-09</t>
  </si>
  <si>
    <t>项目名单</t>
  </si>
  <si>
    <t>World Robotics 2025—Service Robots新闻稿及执行摘要</t>
  </si>
  <si>
    <t>2025-10-07</t>
  </si>
  <si>
    <t>中华人民共和国2025年国民经济和社会发展统计公报</t>
  </si>
  <si>
    <t>2026-02-28</t>
  </si>
  <si>
    <t>2024年全国医疗保障事业发展统计公报</t>
  </si>
  <si>
    <t>2025-07-14</t>
  </si>
  <si>
    <t>支付/长护险</t>
  </si>
  <si>
    <t>2026-03-26</t>
  </si>
  <si>
    <t>国家政策/支付</t>
  </si>
  <si>
    <t>医疗器械分类公共服务办事指南</t>
  </si>
  <si>
    <t>2024-05</t>
  </si>
  <si>
    <t>监管/资质</t>
  </si>
  <si>
    <t>2025-06-27</t>
  </si>
  <si>
    <t>监管/创新</t>
  </si>
  <si>
    <t>2025-04-21</t>
  </si>
  <si>
    <t>武汉政策</t>
  </si>
  <si>
    <t>湖北省国民经济和社会发展第十五个五年规划纲要</t>
  </si>
  <si>
    <t>湖北规划</t>
  </si>
  <si>
    <t>武汉市加快人形机器人产业发展行动方案和政策措施</t>
  </si>
  <si>
    <t>武汉政策/平台</t>
  </si>
  <si>
    <t>关于武汉人形机器人产业发展的公开答复</t>
  </si>
  <si>
    <t>2025-07-20</t>
  </si>
  <si>
    <t>武汉产业/基金</t>
  </si>
  <si>
    <t>武汉都市圈机器人谷产业链报道</t>
  </si>
  <si>
    <t>区域产业链</t>
  </si>
  <si>
    <t>健康养老核心功能</t>
  </si>
  <si>
    <t>查询日2026-07-27</t>
  </si>
  <si>
    <t>武汉健康养老集团揭牌成立</t>
  </si>
  <si>
    <t>康养平台</t>
  </si>
  <si>
    <t>武汉市城市建设投资开发集团有限公司简介</t>
  </si>
  <si>
    <t>武汉市养老设施建设三年行动计划（2025—2027年）</t>
  </si>
  <si>
    <t>2023-04-17</t>
  </si>
  <si>
    <t>基金政策</t>
  </si>
  <si>
    <t>智能康复港与康复机器人产品矩阵</t>
  </si>
  <si>
    <t>企业/产品</t>
  </si>
  <si>
    <t>GR-3 Care-bot及具身智能康养概念</t>
  </si>
  <si>
    <t>2025-07-26</t>
  </si>
  <si>
    <t>康复机器人产品范围及公开覆盖数据</t>
  </si>
  <si>
    <t>S68</t>
  </si>
  <si>
    <t>优颐然养老陪伴机器人产品页</t>
  </si>
  <si>
    <t>https://www.ubtrobot.com/cn/healthcare/products/smart-companiod-robot/welli</t>
  </si>
  <si>
    <t>S69</t>
  </si>
  <si>
    <t>https://www.ubtrobot.com/cn/healthcare/solutions</t>
  </si>
  <si>
    <t>企业/方案</t>
  </si>
  <si>
    <t>智能护理解决方案与产品</t>
  </si>
  <si>
    <t>S71</t>
  </si>
  <si>
    <t>企业介绍与智能辅助出行产品</t>
  </si>
  <si>
    <t>S72</t>
  </si>
  <si>
    <t>护理机器人产品</t>
  </si>
  <si>
    <t>https://www.deyintech.com/product</t>
  </si>
  <si>
    <t>S73</t>
  </si>
  <si>
    <t>https://www.siasun.com/products/afsaaqa.html</t>
  </si>
  <si>
    <t>下肢外骨骼步行康复器采购中标公告</t>
  </si>
  <si>
    <t>2026-07-10</t>
  </si>
  <si>
    <t>西安市第一医院康复机器人设备采购文件</t>
  </si>
  <si>
    <t>2023</t>
  </si>
  <si>
    <t>2025-07-15</t>
  </si>
  <si>
    <t>湖北政策/场景</t>
  </si>
  <si>
    <t>2025-07-25</t>
  </si>
  <si>
    <t>湖北医疗政策</t>
  </si>
  <si>
    <t>湖北场景政策</t>
  </si>
  <si>
    <t>2026年消费品以旧换新新增品类补贴政策</t>
  </si>
  <si>
    <t>2026-04-30</t>
  </si>
  <si>
    <t>湖北消费政策</t>
  </si>
  <si>
    <t>S80</t>
  </si>
  <si>
    <t>武汉人形机器人7S店及本地产业链</t>
  </si>
  <si>
    <t>2025-11-11</t>
  </si>
  <si>
    <t>https://www.wuhan.gov.cn/sy/whyw/202511/t20251111_2675764.shtml</t>
  </si>
  <si>
    <t>武汉产业/产品</t>
  </si>
  <si>
    <t>武汉人形机器人产业链与重点企业</t>
  </si>
  <si>
    <t>2025-07-21</t>
  </si>
  <si>
    <t>武汉产业链</t>
  </si>
  <si>
    <t>基于具身智能的养老护理机器人研发指南</t>
  </si>
  <si>
    <t>地方研发政策</t>
  </si>
  <si>
    <t>2025年武汉市科技成果登记公示（外骨骼项目）</t>
  </si>
  <si>
    <t>武汉科研项目</t>
  </si>
  <si>
    <t>AI健康服务机器人产品矩阵</t>
  </si>
  <si>
    <t>养老服务机器人产品</t>
  </si>
  <si>
    <t>丽洗乐护理机器人及养老护理平台</t>
  </si>
  <si>
    <t>S87</t>
  </si>
  <si>
    <t>公司简介与智能护理产品</t>
  </si>
  <si>
    <t>https://chinaevercare.com/CompanyProfile/index.aspx</t>
  </si>
  <si>
    <t>上市公司财务</t>
  </si>
  <si>
    <t>2025年年度报告及财务决算</t>
  </si>
  <si>
    <t>2026-04-24</t>
  </si>
  <si>
    <t>S90</t>
  </si>
  <si>
    <t>2025年年度报告全文</t>
  </si>
  <si>
    <t>2026-04</t>
  </si>
  <si>
    <t>https://www.siasun.com/uploads/file/20260427/335fc9a5e2378da43372ad89d6beb488.pdf</t>
  </si>
  <si>
    <t>S91</t>
  </si>
  <si>
    <t>Annual Report 2025</t>
  </si>
  <si>
    <t>2026-04-14</t>
  </si>
  <si>
    <t>https://www.hkexnews.hk/listedco/listconews/sehk/2026/0414/2026041401168.pdf</t>
  </si>
  <si>
    <t>2023-01-18</t>
  </si>
  <si>
    <t>2023-11</t>
  </si>
  <si>
    <t>2025-01</t>
  </si>
  <si>
    <t>2024-09</t>
  </si>
  <si>
    <t>养老机器人国际标准IEC 63310相关信息</t>
  </si>
  <si>
    <t>标准</t>
  </si>
  <si>
    <t>民政科技创新相关政策线索（正式文号和原文待核）</t>
  </si>
  <si>
    <t>国家政策线索</t>
  </si>
  <si>
    <t>2026年度人形机器人与具身智能实景实训专项行动</t>
  </si>
  <si>
    <t>2026-06</t>
  </si>
  <si>
    <t>国家专项</t>
  </si>
  <si>
    <t>湖北省人形机器人突破性关键技术征集</t>
  </si>
  <si>
    <t>2025-08</t>
  </si>
  <si>
    <t>湖北科技政策</t>
  </si>
  <si>
    <t>2025年度武汉市人形机器人领域重点研发计划申报</t>
  </si>
  <si>
    <t>2025-04</t>
  </si>
  <si>
    <t>武汉科技政策</t>
  </si>
  <si>
    <t>武汉市科技金融高质量发展行动方案相关信息</t>
  </si>
  <si>
    <t>武汉金融政策</t>
  </si>
  <si>
    <t>武汉市人工智能+行动方案相关公开文件</t>
  </si>
  <si>
    <t>武汉市未来产业创新发展相关公开文件</t>
  </si>
  <si>
    <t>武汉产业政策</t>
  </si>
  <si>
    <t>武汉银发生活安养链平台公开绩效信息</t>
  </si>
  <si>
    <t>武汉养老平台</t>
  </si>
  <si>
    <t>2022-02-21</t>
  </si>
  <si>
    <t>国家规划</t>
  </si>
  <si>
    <t>2020-10-16</t>
  </si>
  <si>
    <t>2023-07-10</t>
  </si>
  <si>
    <t>具身智能服务机器人在养老机构落地应用项目采购公告</t>
  </si>
  <si>
    <t>2026-05</t>
  </si>
  <si>
    <t>养老机器人采购</t>
  </si>
  <si>
    <t>长沙民政职业技术学院康养机器人居家场景训练场成交公告</t>
  </si>
  <si>
    <t>2026-05-25</t>
  </si>
  <si>
    <t>教学/场景采购</t>
  </si>
  <si>
    <t>二便智能护理机器人机构落地公开信息</t>
  </si>
  <si>
    <t>护理机器人场景</t>
  </si>
  <si>
    <t>S113</t>
  </si>
  <si>
    <t>《康复辅助器具产业扩能提质三年行动方案（2026—2028年）》</t>
  </si>
  <si>
    <t>增强数据库更新变更日志</t>
  </si>
  <si>
    <t>记录本轮各表的新增、纠偏、结构调整和覆盖变化，便于后续版本管理。</t>
  </si>
  <si>
    <t>日期</t>
  </si>
  <si>
    <t>变更说明</t>
  </si>
  <si>
    <t>原库记录量/状态</t>
  </si>
  <si>
    <t>增强库记录量/状态</t>
  </si>
  <si>
    <t>完成状态</t>
  </si>
  <si>
    <t>全库</t>
  </si>
  <si>
    <t>建立增强版</t>
  </si>
  <si>
    <t>保留原14张表全部记录和S01—S46来源ID，新建18张表增强库</t>
  </si>
  <si>
    <t>原库只读</t>
  </si>
  <si>
    <t>本增强库</t>
  </si>
  <si>
    <t>完成</t>
  </si>
  <si>
    <t>新增执行器、触觉、脑机接口、VLA、RaaS、注册与维保等环节</t>
  </si>
  <si>
    <t>补充康复、二便护理、移乘、助浴、陪伴、健康管理和国家试点产品</t>
  </si>
  <si>
    <t>新增/纠偏</t>
  </si>
  <si>
    <t>新增人口、长护险、IFR样本、武汉产业与采购价格；严格区分预测和事实</t>
  </si>
  <si>
    <t>补充触觉、脑机接口、VLA、云边协同、功能安全、污物处理和人因</t>
  </si>
  <si>
    <t>补充武汉康养、高校医院及都市圈/外部协同节点</t>
  </si>
  <si>
    <t>补充国家、湖北、武汉、上海政策及标准</t>
  </si>
  <si>
    <t>重点企业</t>
  </si>
  <si>
    <t>扩容</t>
  </si>
  <si>
    <t>全国养老专用企业、国家试点牵头方及武汉/湖北产业链企业</t>
  </si>
  <si>
    <t>新增32项国家试点及采购/场景案例</t>
  </si>
  <si>
    <t>补充统计、证据、财务、注册、临床、合规、售后和组织协同问题</t>
  </si>
  <si>
    <t>扩容/边界澄清</t>
  </si>
  <si>
    <t>城投资源、武汉市外部资源、都市圈资源分栏管理</t>
  </si>
  <si>
    <t>重构</t>
  </si>
  <si>
    <t>建立4个独立模型×3情景，公式驱动并注明边界</t>
  </si>
  <si>
    <t>原库3类/结构较简</t>
  </si>
  <si>
    <t>数据缺口、核实路径与责任清单</t>
  </si>
  <si>
    <t>缺乏公开证据的内容不补全；将缺口转化为尽调任务、试点指标和内部核实清单。</t>
  </si>
  <si>
    <t>缺口ID</t>
  </si>
  <si>
    <t>缺口事项</t>
  </si>
  <si>
    <t>重要性</t>
  </si>
  <si>
    <t>建议核实方式</t>
  </si>
  <si>
    <t>时点</t>
  </si>
  <si>
    <t>G01</t>
  </si>
  <si>
    <t>非上市企业真实营收、毛利、现金消耗和估值</t>
  </si>
  <si>
    <t>正式投资前财务尽调</t>
  </si>
  <si>
    <t>G02</t>
  </si>
  <si>
    <t>医疗器械注册证号、适用范围和有效期未能在静态网页逐证查询</t>
  </si>
  <si>
    <t>通过NMPA/省药监官方数据库按企业+型号逐证核验</t>
  </si>
  <si>
    <t>G03</t>
  </si>
  <si>
    <t>养老机器人真实交付、在线率、使用率和复购</t>
  </si>
  <si>
    <t>要求企业提供合同、验收、设备日志和回款</t>
  </si>
  <si>
    <t>投资/场景团队</t>
  </si>
  <si>
    <t>G04</t>
  </si>
  <si>
    <t>市场规模</t>
  </si>
  <si>
    <t>中国养老机器人统一权威统计口径缺失</t>
  </si>
  <si>
    <t>保留多口径，采用底层需求和场景模型</t>
  </si>
  <si>
    <t>结构性缺口</t>
  </si>
  <si>
    <t>G05</t>
  </si>
  <si>
    <t>ROI</t>
  </si>
  <si>
    <t>武汉城投实际床位、护理排班、工资、设备任务量未公开</t>
  </si>
  <si>
    <t>正式试点前替换为内部真实数据</t>
  </si>
  <si>
    <t>场景运营方</t>
  </si>
  <si>
    <t>立项前</t>
  </si>
  <si>
    <t>G06</t>
  </si>
  <si>
    <t>具体养老机构、社区、物业和采购权限清单</t>
  </si>
  <si>
    <t>由内部业务条线确认</t>
  </si>
  <si>
    <t>G07</t>
  </si>
  <si>
    <t>武汉健康养老集团实际运营机构、床位、入住率和财务</t>
  </si>
  <si>
    <t>内部核实并与公开口径对齐</t>
  </si>
  <si>
    <t>G08</t>
  </si>
  <si>
    <t>武汉本地人形机器人企业养老专用收入和订单</t>
  </si>
  <si>
    <t>以养老任务试点形成可比数据</t>
  </si>
  <si>
    <t>场景/投资团队</t>
  </si>
  <si>
    <t>12个月</t>
  </si>
  <si>
    <t>G09</t>
  </si>
  <si>
    <t>部分政策项目的申报窗口、预算余额和当前有效性</t>
  </si>
  <si>
    <t>申报前向主管部门复核</t>
  </si>
  <si>
    <t>招商/政策团队</t>
  </si>
  <si>
    <t>申报前</t>
  </si>
  <si>
    <t>G10</t>
  </si>
  <si>
    <t>采购</t>
  </si>
  <si>
    <t>单一采购价格受型号、配置和服务影响</t>
  </si>
  <si>
    <t>至少取得3个同类项目或正式报价</t>
  </si>
  <si>
    <t>采购团队</t>
  </si>
  <si>
    <t>采购前</t>
  </si>
  <si>
    <t>G11</t>
  </si>
  <si>
    <t>技术</t>
  </si>
  <si>
    <t>贴身护理机器人的事故率、停机率和长期皮肤安全数据</t>
  </si>
  <si>
    <t>6个月机构真实世界试点</t>
  </si>
  <si>
    <t>技术/场景团队</t>
  </si>
  <si>
    <t>G12</t>
  </si>
  <si>
    <t>老人激活率、30/90天留存和订阅续费</t>
  </si>
  <si>
    <t>居家用户A/B试验和服务日志</t>
  </si>
  <si>
    <t>运营团队</t>
  </si>
  <si>
    <t>6—12个月</t>
  </si>
  <si>
    <t>G13</t>
  </si>
  <si>
    <t>治疗师效率提升、患者结局和设备利用率</t>
  </si>
  <si>
    <t>医院/康复中心对照试点</t>
  </si>
  <si>
    <t>医疗合作方</t>
  </si>
  <si>
    <t>G14</t>
  </si>
  <si>
    <t>融资事件</t>
  </si>
  <si>
    <t>部分非上市公司融资金额和投后估值仅见媒体或企业口径</t>
  </si>
  <si>
    <t>获取工商、投资协议或投资方确认</t>
  </si>
  <si>
    <t>G15</t>
  </si>
  <si>
    <t>退出路径</t>
  </si>
  <si>
    <t>非上市养老机器人企业可比退出案例少</t>
  </si>
  <si>
    <t>设计产业并购、回购、上市和基金份额转让备选</t>
  </si>
  <si>
    <t>投决前</t>
  </si>
  <si>
    <t>G16</t>
  </si>
  <si>
    <t>区域</t>
  </si>
  <si>
    <t>都市圈各城市具体承载园区、租金和招商政策</t>
  </si>
  <si>
    <t>逐城市招商部门和园区核验</t>
  </si>
  <si>
    <t>招商团队</t>
  </si>
  <si>
    <t>落地前</t>
  </si>
  <si>
    <t>G17</t>
  </si>
  <si>
    <t>养老健康数据跨平台授权和数据出境边界</t>
  </si>
  <si>
    <t>数据保护影响评估与法律审查</t>
  </si>
  <si>
    <t>法务/数据团队</t>
  </si>
  <si>
    <t>上线前</t>
  </si>
  <si>
    <t>G18</t>
  </si>
  <si>
    <t>IEC 63310与国内产品测试、强制标准的衔接</t>
  </si>
  <si>
    <t>咨询检测认证机构</t>
  </si>
  <si>
    <t>技术团队</t>
  </si>
  <si>
    <t>产品导入前</t>
  </si>
  <si>
    <t>G19</t>
  </si>
  <si>
    <t>长护险服务支付能否覆盖机器人辅助环节</t>
  </si>
  <si>
    <t>按武汉具体长护险服务项目和结算规则核验</t>
  </si>
  <si>
    <t>运营/医保研究</t>
  </si>
  <si>
    <t>商业模式确定前</t>
  </si>
  <si>
    <t>G20</t>
  </si>
  <si>
    <t>知识产权</t>
  </si>
  <si>
    <t>高校团队成果权属、职务发明和产业化授权</t>
  </si>
  <si>
    <t>逐项目开展IP尽调</t>
  </si>
  <si>
    <t>法务/投资团队</t>
  </si>
  <si>
    <t>公开资料检索过程与饱和度记录</t>
  </si>
  <si>
    <t>检索分两轮：第一轮建全景池，第二轮核验重点标的和关键数据；重复率为定性分级，不伪造精确点击统计。</t>
  </si>
  <si>
    <t>查询ID</t>
  </si>
  <si>
    <t>轮次</t>
  </si>
  <si>
    <t>主题</t>
  </si>
  <si>
    <t>检索式/动作</t>
  </si>
  <si>
    <t>优先来源</t>
  </si>
  <si>
    <t>主要结果</t>
  </si>
  <si>
    <t>新增有效记录</t>
  </si>
  <si>
    <t>重复结果率</t>
  </si>
  <si>
    <t>证据质量</t>
  </si>
  <si>
    <t>饱和判断</t>
  </si>
  <si>
    <t>Q01</t>
  </si>
  <si>
    <t>第一轮</t>
  </si>
  <si>
    <t>国家养老机器人试点</t>
  </si>
  <si>
    <t>site:gov.cn 养老机器人 智能养老服务机器人 试点 项目 名单 2025</t>
  </si>
  <si>
    <t>工业和信息化部/民政部</t>
  </si>
  <si>
    <t>检索到32项正式名单</t>
  </si>
  <si>
    <t>32项</t>
  </si>
  <si>
    <t>纳入项目和企业池</t>
  </si>
  <si>
    <t>Q02</t>
  </si>
  <si>
    <t>site:gov.cn 机器人+ 养老服务 人形机器人 银发经济 政策 2024 2025</t>
  </si>
  <si>
    <t>国务院/工信部</t>
  </si>
  <si>
    <t>发现顶层政策、目录和标准</t>
  </si>
  <si>
    <t>8项</t>
  </si>
  <si>
    <t>进入第二轮精确化</t>
  </si>
  <si>
    <t>Q03</t>
  </si>
  <si>
    <t>湖北政策与产业</t>
  </si>
  <si>
    <t>site:hubei.gov.cn 机器人 具身智能 康复 医疗 养老 政策 2025 2026</t>
  </si>
  <si>
    <t>湖北省政府/部门</t>
  </si>
  <si>
    <t>发现十五五、养老、医疗AI、场景政策</t>
  </si>
  <si>
    <t>7项</t>
  </si>
  <si>
    <t>基本饱和</t>
  </si>
  <si>
    <t>Q04</t>
  </si>
  <si>
    <t>武汉产业基础</t>
  </si>
  <si>
    <t>site:wuhan.gov.cn 机器人 产业 具身智能 医疗 康复 养老 武汉 2025 2026</t>
  </si>
  <si>
    <t>武汉市政府/部门</t>
  </si>
  <si>
    <t>发现行动方案、基金、50余家重点企业</t>
  </si>
  <si>
    <t>9项</t>
  </si>
  <si>
    <t>转企业核验</t>
  </si>
  <si>
    <t>Q05</t>
  </si>
  <si>
    <t>人口与支付</t>
  </si>
  <si>
    <t>国家统计局 2025 60岁 长护险 2024 参保 基金</t>
  </si>
  <si>
    <t>统计局/医保局</t>
  </si>
  <si>
    <t>取得人口和长护险实际数据</t>
  </si>
  <si>
    <t>8项指标</t>
  </si>
  <si>
    <t>已饱和</t>
  </si>
  <si>
    <t>Q06</t>
  </si>
  <si>
    <t>全球机器人市场</t>
  </si>
  <si>
    <t>IFR World Robotics 2025 service medical rehabilitation robots</t>
  </si>
  <si>
    <t>IFR</t>
  </si>
  <si>
    <t>取得服务/医疗/康复/RaaS样本数据</t>
  </si>
  <si>
    <t>Q07</t>
  </si>
  <si>
    <t>武汉产业链企业</t>
  </si>
  <si>
    <t>武汉 人形机器人 企业 名单 产业链 核心零部件</t>
  </si>
  <si>
    <t>武汉经信/科技/政府</t>
  </si>
  <si>
    <t>识别整机与关键部件企业</t>
  </si>
  <si>
    <t>15家以上</t>
  </si>
  <si>
    <t>需财务和产品核验</t>
  </si>
  <si>
    <t>Q08</t>
  </si>
  <si>
    <t>康复产品</t>
  </si>
  <si>
    <t>傅利叶 程天 司羿 优必选 康复机器人 产品 官网</t>
  </si>
  <si>
    <t>补充产品矩阵和场景</t>
  </si>
  <si>
    <t>20余产品线</t>
  </si>
  <si>
    <t>商业数据仍缺</t>
  </si>
  <si>
    <t>Q09</t>
  </si>
  <si>
    <t>护理/陪伴产品</t>
  </si>
  <si>
    <t>护理机器人 大小便 移位 养老陪伴 官网</t>
  </si>
  <si>
    <t>企业官网/政府</t>
  </si>
  <si>
    <t>识别护理与陪伴专用企业</t>
  </si>
  <si>
    <t>进入试点核验</t>
  </si>
  <si>
    <t>Q10</t>
  </si>
  <si>
    <t>第二轮</t>
  </si>
  <si>
    <t>武汉城投 养老 康养 安养 医院 基金 园区 官方</t>
  </si>
  <si>
    <t>武汉城投/武汉政府</t>
  </si>
  <si>
    <t>确认健康养老功能、武汉康养集团和安养链</t>
  </si>
  <si>
    <t>6类资源</t>
  </si>
  <si>
    <t>权属边界已澄清</t>
  </si>
  <si>
    <t>Q11</t>
  </si>
  <si>
    <t>医疗器械资质</t>
  </si>
  <si>
    <t>site:nmpa.gov.cn 康复机器人 外骨骼 手功能 注册证</t>
  </si>
  <si>
    <t>国家药监局</t>
  </si>
  <si>
    <t>静态搜索仅确认分类和监管政策，未能逐证返回</t>
  </si>
  <si>
    <t>2项制度</t>
  </si>
  <si>
    <t>列为逐证待核</t>
  </si>
  <si>
    <t>Q12</t>
  </si>
  <si>
    <t>伟思 翔宇 新松 优必选 2025 年度报告</t>
  </si>
  <si>
    <t>交易所/公司官网</t>
  </si>
  <si>
    <t>取得2025年年报或官方入口</t>
  </si>
  <si>
    <t>4家公司</t>
  </si>
  <si>
    <t>Q13</t>
  </si>
  <si>
    <t>康复机器人 护理机器人 政府采购 2025 2026</t>
  </si>
  <si>
    <t>中国政府采购网/地方平台</t>
  </si>
  <si>
    <t>取得外骨骼和场景采购案例</t>
  </si>
  <si>
    <t>5项</t>
  </si>
  <si>
    <t>型号可比性不足</t>
  </si>
  <si>
    <t>Q14</t>
  </si>
  <si>
    <t>国家试点参与方</t>
  </si>
  <si>
    <t>打开并逐页解析32项试点PDF</t>
  </si>
  <si>
    <t>工信部/民政部</t>
  </si>
  <si>
    <t>完整提取牵头和参与单位</t>
  </si>
  <si>
    <t>Q15</t>
  </si>
  <si>
    <t>武汉本地项目</t>
  </si>
  <si>
    <t>武汉 外骨骼 科技成果 人形机器人 7S店</t>
  </si>
  <si>
    <t>武汉科技/政府</t>
  </si>
  <si>
    <t>补充本地成果、整机和部件线索</t>
  </si>
  <si>
    <t>10项</t>
  </si>
  <si>
    <t>需企业尽调</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</si>
</sst>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35">
    <font>
      <sz val="11"/>
      <name val="Carlito"/>
      <charset val="134"/>
    </font>
    <font>
      <b/>
      <sz val="17"/>
      <color rgb="FFFFFFFF"/>
      <name val="Carlito"/>
      <charset val="134"/>
    </font>
    <font>
      <i/>
      <sz val="9"/>
      <color rgb="FF667085"/>
      <name val="Carlito"/>
      <charset val="134"/>
    </font>
    <font>
      <b/>
      <sz val="9"/>
      <color rgb="FFFFFFFF"/>
      <name val="Carlito"/>
      <charset val="134"/>
    </font>
    <font>
      <sz val="9"/>
      <color rgb="FF233044"/>
      <name val="Carlito"/>
      <charset val="134"/>
    </font>
    <font>
      <b/>
      <sz val="8"/>
      <color rgb="FFFFFFFF"/>
      <name val="Carlito"/>
      <charset val="134"/>
    </font>
    <font>
      <sz val="9"/>
      <name val="Carlito"/>
      <charset val="134"/>
    </font>
    <font>
      <sz val="9"/>
      <color rgb="FF0000FF"/>
      <name val="Carlito"/>
      <charset val="134"/>
    </font>
    <font>
      <sz val="9"/>
      <color rgb="FF000000"/>
      <name val="Carlito"/>
      <charset val="134"/>
    </font>
    <font>
      <sz val="9"/>
      <color rgb="FF375623"/>
      <name val="Carlito"/>
      <charset val="134"/>
    </font>
    <font>
      <b/>
      <sz val="11"/>
      <color rgb="FFFFFFFF"/>
      <name val="Carlito"/>
      <charset val="134"/>
    </font>
    <font>
      <b/>
      <sz val="20"/>
      <color rgb="FFFFFFFF"/>
      <name val="Carlito"/>
      <charset val="134"/>
    </font>
    <font>
      <sz val="10"/>
      <color rgb="FF233044"/>
      <name val="Carlito"/>
      <charset val="134"/>
    </font>
    <font>
      <b/>
      <sz val="10"/>
      <color rgb="FFFFFFFF"/>
      <name val="Carlito"/>
      <charset val="134"/>
    </font>
    <font>
      <b/>
      <sz val="11"/>
      <color rgb="FF17365D"/>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7365D"/>
        <bgColor indexed="64"/>
      </patternFill>
    </fill>
    <fill>
      <patternFill patternType="solid">
        <fgColor rgb="FFEAF0F7"/>
        <bgColor indexed="64"/>
      </patternFill>
    </fill>
    <fill>
      <patternFill patternType="solid">
        <fgColor rgb="FF2E75B6"/>
        <bgColor indexed="64"/>
      </patternFill>
    </fill>
    <fill>
      <patternFill patternType="solid">
        <fgColor rgb="FFF7F9FC"/>
        <bgColor indexed="64"/>
      </patternFill>
    </fill>
    <fill>
      <patternFill patternType="solid">
        <fgColor rgb="FFFFF2CC"/>
        <bgColor indexed="64"/>
      </patternFill>
    </fill>
    <fill>
      <patternFill patternType="solid">
        <fgColor rgb="FFE2F0D9"/>
        <bgColor indexed="64"/>
      </patternFill>
    </fill>
    <fill>
      <patternFill patternType="solid">
        <fgColor rgb="FFC99A2E"/>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thin">
        <color rgb="FFD9E1E8"/>
      </right>
      <top/>
      <bottom style="thin">
        <color rgb="FFD9E1E8"/>
      </bottom>
      <diagonal/>
    </border>
    <border>
      <left style="thin">
        <color rgb="FFD9E1E8"/>
      </left>
      <right style="thin">
        <color rgb="FFD9E1E8"/>
      </right>
      <top/>
      <bottom style="thin">
        <color rgb="FFD9E1E8"/>
      </bottom>
      <diagonal/>
    </border>
    <border>
      <left style="thin">
        <color rgb="FFD9E1E8"/>
      </left>
      <right/>
      <top/>
      <bottom style="thin">
        <color rgb="FFD9E1E8"/>
      </bottom>
      <diagonal/>
    </border>
    <border>
      <left/>
      <right style="thin">
        <color rgb="FFD9E1E8"/>
      </right>
      <top style="thin">
        <color rgb="FFD9E1E8"/>
      </top>
      <bottom style="thin">
        <color rgb="FFD9E1E8"/>
      </bottom>
      <diagonal/>
    </border>
    <border>
      <left style="thin">
        <color rgb="FFD9E1E8"/>
      </left>
      <right style="thin">
        <color rgb="FFD9E1E8"/>
      </right>
      <top style="thin">
        <color rgb="FFD9E1E8"/>
      </top>
      <bottom style="thin">
        <color rgb="FFD9E1E8"/>
      </bottom>
      <diagonal/>
    </border>
    <border>
      <left style="thin">
        <color rgb="FFD9E1E8"/>
      </left>
      <right/>
      <top style="thin">
        <color rgb="FFD9E1E8"/>
      </top>
      <bottom style="thin">
        <color rgb="FFD9E1E8"/>
      </bottom>
      <diagonal/>
    </border>
    <border>
      <left/>
      <right style="thin">
        <color rgb="FFD9E1E8"/>
      </right>
      <top style="thin">
        <color rgb="FFD9E1E8"/>
      </top>
      <bottom/>
      <diagonal/>
    </border>
    <border>
      <left style="thin">
        <color rgb="FFD9E1E8"/>
      </left>
      <right style="thin">
        <color rgb="FFD9E1E8"/>
      </right>
      <top style="thin">
        <color rgb="FFD9E1E8"/>
      </top>
      <bottom/>
      <diagonal/>
    </border>
    <border>
      <left style="thin">
        <color rgb="FFD9E1E8"/>
      </left>
      <right/>
      <top style="thin">
        <color rgb="FFD9E1E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10" borderId="1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3" fillId="0" borderId="0" applyNumberFormat="0" applyFill="0" applyBorder="0" applyAlignment="0" applyProtection="0">
      <alignment vertical="center"/>
    </xf>
    <xf numFmtId="0" fontId="24" fillId="11" borderId="13" applyNumberFormat="0" applyAlignment="0" applyProtection="0">
      <alignment vertical="center"/>
    </xf>
    <xf numFmtId="0" fontId="25" fillId="12" borderId="14" applyNumberFormat="0" applyAlignment="0" applyProtection="0">
      <alignment vertical="center"/>
    </xf>
    <xf numFmtId="0" fontId="26" fillId="12" borderId="13" applyNumberFormat="0" applyAlignment="0" applyProtection="0">
      <alignment vertical="center"/>
    </xf>
    <xf numFmtId="0" fontId="27" fillId="13" borderId="15" applyNumberFormat="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33" fillId="37" borderId="0" applyNumberFormat="0" applyBorder="0" applyAlignment="0" applyProtection="0">
      <alignment vertical="center"/>
    </xf>
    <xf numFmtId="0" fontId="34" fillId="38" borderId="0" applyNumberFormat="0" applyBorder="0" applyAlignment="0" applyProtection="0">
      <alignment vertical="center"/>
    </xf>
    <xf numFmtId="0" fontId="34" fillId="39" borderId="0" applyNumberFormat="0" applyBorder="0" applyAlignment="0" applyProtection="0">
      <alignment vertical="center"/>
    </xf>
    <xf numFmtId="0" fontId="33" fillId="40" borderId="0" applyNumberFormat="0" applyBorder="0" applyAlignment="0" applyProtection="0">
      <alignment vertical="center"/>
    </xf>
    <xf numFmtId="0" fontId="0" fillId="0" borderId="0"/>
  </cellStyleXfs>
  <cellXfs count="90">
    <xf numFmtId="0" fontId="0" fillId="0" borderId="0" xfId="49"/>
    <xf numFmtId="0" fontId="1" fillId="2" borderId="0" xfId="49" applyNumberFormat="1" applyFont="1" applyFill="1" applyBorder="1" applyAlignment="1">
      <alignment vertical="center"/>
    </xf>
    <xf numFmtId="0" fontId="2" fillId="3" borderId="0" xfId="49" applyNumberFormat="1" applyFont="1" applyFill="1" applyBorder="1" applyAlignment="1">
      <alignment vertical="center" wrapText="1"/>
    </xf>
    <xf numFmtId="0" fontId="3" fillId="4" borderId="0" xfId="49" applyNumberFormat="1" applyFont="1" applyFill="1" applyBorder="1" applyAlignment="1">
      <alignment vertical="center" wrapText="1"/>
    </xf>
    <xf numFmtId="0" fontId="4" fillId="0" borderId="1" xfId="49" applyNumberFormat="1" applyFont="1" applyFill="1" applyBorder="1" applyAlignment="1">
      <alignment vertical="top" wrapText="1"/>
    </xf>
    <xf numFmtId="0" fontId="4" fillId="0" borderId="2" xfId="49" applyNumberFormat="1" applyFont="1" applyFill="1" applyBorder="1" applyAlignment="1">
      <alignment vertical="top" wrapText="1"/>
    </xf>
    <xf numFmtId="0" fontId="4" fillId="0" borderId="3" xfId="49" applyNumberFormat="1" applyFont="1" applyFill="1" applyBorder="1" applyAlignment="1">
      <alignment vertical="top" wrapText="1"/>
    </xf>
    <xf numFmtId="0" fontId="4" fillId="5" borderId="4" xfId="49" applyNumberFormat="1" applyFont="1" applyFill="1" applyBorder="1" applyAlignment="1">
      <alignment vertical="top" wrapText="1"/>
    </xf>
    <xf numFmtId="0" fontId="4" fillId="5" borderId="5" xfId="49" applyNumberFormat="1" applyFont="1" applyFill="1" applyBorder="1" applyAlignment="1">
      <alignment vertical="top" wrapText="1"/>
    </xf>
    <xf numFmtId="0" fontId="4" fillId="5" borderId="6" xfId="49" applyNumberFormat="1" applyFont="1" applyFill="1" applyBorder="1" applyAlignment="1">
      <alignment vertical="top" wrapText="1"/>
    </xf>
    <xf numFmtId="0" fontId="4" fillId="0" borderId="4" xfId="49" applyNumberFormat="1" applyFont="1" applyFill="1" applyBorder="1" applyAlignment="1">
      <alignment vertical="top" wrapText="1"/>
    </xf>
    <xf numFmtId="0" fontId="4" fillId="0" borderId="5" xfId="49" applyNumberFormat="1" applyFont="1" applyFill="1" applyBorder="1" applyAlignment="1">
      <alignment vertical="top" wrapText="1"/>
    </xf>
    <xf numFmtId="0" fontId="4" fillId="0" borderId="6" xfId="49" applyNumberFormat="1" applyFont="1" applyFill="1" applyBorder="1" applyAlignment="1">
      <alignment vertical="top" wrapText="1"/>
    </xf>
    <xf numFmtId="0" fontId="4" fillId="0" borderId="7" xfId="49" applyNumberFormat="1" applyFont="1" applyFill="1" applyBorder="1" applyAlignment="1">
      <alignment vertical="top" wrapText="1"/>
    </xf>
    <xf numFmtId="0" fontId="4" fillId="0" borderId="8" xfId="49" applyNumberFormat="1" applyFont="1" applyFill="1" applyBorder="1" applyAlignment="1">
      <alignment vertical="top" wrapText="1"/>
    </xf>
    <xf numFmtId="0" fontId="4" fillId="0" borderId="9" xfId="49" applyNumberFormat="1" applyFont="1" applyFill="1" applyBorder="1" applyAlignment="1">
      <alignment vertical="top" wrapText="1"/>
    </xf>
    <xf numFmtId="0" fontId="4" fillId="5" borderId="7" xfId="49" applyNumberFormat="1" applyFont="1" applyFill="1" applyBorder="1" applyAlignment="1">
      <alignment vertical="top" wrapText="1"/>
    </xf>
    <xf numFmtId="0" fontId="4" fillId="5" borderId="8" xfId="49" applyNumberFormat="1" applyFont="1" applyFill="1" applyBorder="1" applyAlignment="1">
      <alignment vertical="top" wrapText="1"/>
    </xf>
    <xf numFmtId="0" fontId="4" fillId="5" borderId="9" xfId="49" applyNumberFormat="1" applyFont="1" applyFill="1" applyBorder="1" applyAlignment="1">
      <alignment vertical="top" wrapText="1"/>
    </xf>
    <xf numFmtId="14" fontId="4" fillId="0" borderId="5" xfId="49" applyNumberFormat="1" applyFont="1" applyFill="1" applyBorder="1" applyAlignment="1">
      <alignment vertical="top" wrapText="1"/>
    </xf>
    <xf numFmtId="0" fontId="1" fillId="2" borderId="0" xfId="49" applyNumberFormat="1" applyFont="1" applyFill="1" applyBorder="1"/>
    <xf numFmtId="0" fontId="2" fillId="3" borderId="0" xfId="49" applyNumberFormat="1" applyFont="1" applyFill="1" applyBorder="1"/>
    <xf numFmtId="0" fontId="5" fillId="4" borderId="0" xfId="49" applyNumberFormat="1" applyFont="1" applyFill="1" applyBorder="1" applyAlignment="1">
      <alignment wrapText="1"/>
    </xf>
    <xf numFmtId="0" fontId="6" fillId="0" borderId="1" xfId="49" applyNumberFormat="1" applyFont="1" applyFill="1" applyBorder="1" applyAlignment="1">
      <alignment vertical="top" wrapText="1"/>
    </xf>
    <xf numFmtId="0" fontId="6" fillId="0" borderId="2" xfId="49" applyNumberFormat="1" applyFont="1" applyFill="1" applyBorder="1" applyAlignment="1">
      <alignment vertical="top" wrapText="1"/>
    </xf>
    <xf numFmtId="4" fontId="7" fillId="6" borderId="2" xfId="49" applyNumberFormat="1" applyFont="1" applyFill="1" applyBorder="1" applyAlignment="1">
      <alignment vertical="top" wrapText="1"/>
    </xf>
    <xf numFmtId="176" fontId="7" fillId="6" borderId="2" xfId="49" applyNumberFormat="1" applyFont="1" applyFill="1" applyBorder="1" applyAlignment="1">
      <alignment vertical="top" wrapText="1"/>
    </xf>
    <xf numFmtId="4" fontId="8" fillId="0" borderId="2" xfId="49" applyNumberFormat="1" applyFont="1" applyFill="1" applyBorder="1" applyAlignment="1">
      <alignment vertical="top" wrapText="1"/>
    </xf>
    <xf numFmtId="176" fontId="8" fillId="0" borderId="2" xfId="49" applyNumberFormat="1" applyFont="1" applyFill="1" applyBorder="1" applyAlignment="1">
      <alignment vertical="top" wrapText="1"/>
    </xf>
    <xf numFmtId="0" fontId="6" fillId="0" borderId="3" xfId="49" applyNumberFormat="1" applyFont="1" applyFill="1" applyBorder="1" applyAlignment="1">
      <alignment vertical="top" wrapText="1"/>
    </xf>
    <xf numFmtId="0" fontId="6" fillId="0" borderId="4" xfId="49" applyNumberFormat="1" applyFont="1" applyFill="1" applyBorder="1" applyAlignment="1">
      <alignment vertical="top" wrapText="1"/>
    </xf>
    <xf numFmtId="0" fontId="6" fillId="0" borderId="5" xfId="49" applyNumberFormat="1" applyFont="1" applyFill="1" applyBorder="1" applyAlignment="1">
      <alignment vertical="top" wrapText="1"/>
    </xf>
    <xf numFmtId="4" fontId="7" fillId="6" borderId="5" xfId="49" applyNumberFormat="1" applyFont="1" applyFill="1" applyBorder="1" applyAlignment="1">
      <alignment vertical="top" wrapText="1"/>
    </xf>
    <xf numFmtId="176" fontId="7" fillId="6" borderId="5" xfId="49" applyNumberFormat="1" applyFont="1" applyFill="1" applyBorder="1" applyAlignment="1">
      <alignment vertical="top" wrapText="1"/>
    </xf>
    <xf numFmtId="4" fontId="8" fillId="0" borderId="5" xfId="49" applyNumberFormat="1" applyFont="1" applyFill="1" applyBorder="1" applyAlignment="1">
      <alignment vertical="top" wrapText="1"/>
    </xf>
    <xf numFmtId="176" fontId="8" fillId="0" borderId="5" xfId="49" applyNumberFormat="1" applyFont="1" applyFill="1" applyBorder="1" applyAlignment="1">
      <alignment vertical="top" wrapText="1"/>
    </xf>
    <xf numFmtId="0" fontId="6" fillId="0" borderId="6" xfId="49" applyNumberFormat="1" applyFont="1" applyFill="1" applyBorder="1" applyAlignment="1">
      <alignment vertical="top" wrapText="1"/>
    </xf>
    <xf numFmtId="0" fontId="6" fillId="0" borderId="7" xfId="49" applyNumberFormat="1" applyFont="1" applyFill="1" applyBorder="1" applyAlignment="1">
      <alignment vertical="top" wrapText="1"/>
    </xf>
    <xf numFmtId="0" fontId="6" fillId="0" borderId="8" xfId="49" applyNumberFormat="1" applyFont="1" applyFill="1" applyBorder="1" applyAlignment="1">
      <alignment vertical="top" wrapText="1"/>
    </xf>
    <xf numFmtId="4" fontId="7" fillId="6" borderId="8" xfId="49" applyNumberFormat="1" applyFont="1" applyFill="1" applyBorder="1" applyAlignment="1">
      <alignment vertical="top" wrapText="1"/>
    </xf>
    <xf numFmtId="176" fontId="7" fillId="6" borderId="8" xfId="49" applyNumberFormat="1" applyFont="1" applyFill="1" applyBorder="1" applyAlignment="1">
      <alignment vertical="top" wrapText="1"/>
    </xf>
    <xf numFmtId="4" fontId="8" fillId="0" borderId="8" xfId="49" applyNumberFormat="1" applyFont="1" applyFill="1" applyBorder="1" applyAlignment="1">
      <alignment vertical="top" wrapText="1"/>
    </xf>
    <xf numFmtId="176" fontId="8" fillId="0" borderId="8" xfId="49" applyNumberFormat="1" applyFont="1" applyFill="1" applyBorder="1" applyAlignment="1">
      <alignment vertical="top" wrapText="1"/>
    </xf>
    <xf numFmtId="0" fontId="6" fillId="0" borderId="9" xfId="49" applyNumberFormat="1" applyFont="1" applyFill="1" applyBorder="1" applyAlignment="1">
      <alignment vertical="top" wrapText="1"/>
    </xf>
    <xf numFmtId="0" fontId="9" fillId="7" borderId="0" xfId="49" applyNumberFormat="1" applyFont="1" applyFill="1" applyBorder="1" applyAlignment="1">
      <alignment wrapText="1"/>
    </xf>
    <xf numFmtId="0" fontId="10" fillId="8" borderId="0" xfId="49" applyNumberFormat="1" applyFont="1" applyFill="1" applyBorder="1"/>
    <xf numFmtId="0" fontId="10" fillId="4" borderId="0" xfId="49" applyNumberFormat="1" applyFont="1" applyFill="1" applyBorder="1"/>
    <xf numFmtId="0" fontId="6" fillId="0" borderId="1" xfId="49" applyNumberFormat="1" applyFont="1" applyFill="1" applyBorder="1" applyAlignment="1">
      <alignment wrapText="1"/>
    </xf>
    <xf numFmtId="0" fontId="6" fillId="0" borderId="2" xfId="49" applyNumberFormat="1" applyFont="1" applyFill="1" applyBorder="1" applyAlignment="1">
      <alignment wrapText="1"/>
    </xf>
    <xf numFmtId="0" fontId="6" fillId="0" borderId="3" xfId="49" applyNumberFormat="1" applyFont="1" applyFill="1" applyBorder="1" applyAlignment="1">
      <alignment wrapText="1"/>
    </xf>
    <xf numFmtId="177" fontId="6" fillId="0" borderId="2" xfId="49" applyNumberFormat="1" applyFont="1" applyFill="1" applyBorder="1" applyAlignment="1">
      <alignment wrapText="1"/>
    </xf>
    <xf numFmtId="0" fontId="6" fillId="0" borderId="4" xfId="49" applyNumberFormat="1" applyFont="1" applyFill="1" applyBorder="1" applyAlignment="1">
      <alignment wrapText="1"/>
    </xf>
    <xf numFmtId="0" fontId="6" fillId="0" borderId="5" xfId="49" applyNumberFormat="1" applyFont="1" applyFill="1" applyBorder="1" applyAlignment="1">
      <alignment wrapText="1"/>
    </xf>
    <xf numFmtId="0" fontId="6" fillId="0" borderId="6" xfId="49" applyNumberFormat="1" applyFont="1" applyFill="1" applyBorder="1" applyAlignment="1">
      <alignment wrapText="1"/>
    </xf>
    <xf numFmtId="177" fontId="6" fillId="0" borderId="5" xfId="49" applyNumberFormat="1" applyFont="1" applyFill="1" applyBorder="1" applyAlignment="1">
      <alignment wrapText="1"/>
    </xf>
    <xf numFmtId="0" fontId="6" fillId="0" borderId="7" xfId="49" applyNumberFormat="1" applyFont="1" applyFill="1" applyBorder="1" applyAlignment="1">
      <alignment wrapText="1"/>
    </xf>
    <xf numFmtId="0" fontId="6" fillId="0" borderId="8" xfId="49" applyNumberFormat="1" applyFont="1" applyFill="1" applyBorder="1" applyAlignment="1">
      <alignment wrapText="1"/>
    </xf>
    <xf numFmtId="177" fontId="6" fillId="0" borderId="8" xfId="49" applyNumberFormat="1" applyFont="1" applyFill="1" applyBorder="1" applyAlignment="1">
      <alignment wrapText="1"/>
    </xf>
    <xf numFmtId="0" fontId="6" fillId="0" borderId="9" xfId="49" applyNumberFormat="1" applyFont="1" applyFill="1" applyBorder="1" applyAlignment="1">
      <alignment wrapText="1"/>
    </xf>
    <xf numFmtId="0" fontId="3" fillId="4" borderId="0" xfId="49" applyNumberFormat="1" applyFont="1" applyFill="1" applyBorder="1" applyAlignment="1">
      <alignment wrapText="1"/>
    </xf>
    <xf numFmtId="177" fontId="6" fillId="0" borderId="3" xfId="49" applyNumberFormat="1" applyFont="1" applyFill="1" applyBorder="1" applyAlignment="1">
      <alignment wrapText="1"/>
    </xf>
    <xf numFmtId="177" fontId="6" fillId="0" borderId="6" xfId="49" applyNumberFormat="1" applyFont="1" applyFill="1" applyBorder="1" applyAlignment="1">
      <alignment wrapText="1"/>
    </xf>
    <xf numFmtId="177" fontId="6" fillId="0" borderId="9" xfId="49" applyNumberFormat="1" applyFont="1" applyFill="1" applyBorder="1" applyAlignment="1">
      <alignment wrapText="1"/>
    </xf>
    <xf numFmtId="4" fontId="4" fillId="0" borderId="2" xfId="49" applyNumberFormat="1" applyFont="1" applyFill="1" applyBorder="1" applyAlignment="1">
      <alignment vertical="top" wrapText="1"/>
    </xf>
    <xf numFmtId="4" fontId="4" fillId="5" borderId="5" xfId="49" applyNumberFormat="1" applyFont="1" applyFill="1" applyBorder="1" applyAlignment="1">
      <alignment vertical="top" wrapText="1"/>
    </xf>
    <xf numFmtId="4" fontId="4" fillId="0" borderId="5" xfId="49" applyNumberFormat="1" applyFont="1" applyFill="1" applyBorder="1" applyAlignment="1">
      <alignment vertical="top" wrapText="1"/>
    </xf>
    <xf numFmtId="4" fontId="4" fillId="0" borderId="8" xfId="49" applyNumberFormat="1" applyFont="1" applyFill="1" applyBorder="1" applyAlignment="1">
      <alignment vertical="top" wrapText="1"/>
    </xf>
    <xf numFmtId="0" fontId="11" fillId="2" borderId="0" xfId="49" applyNumberFormat="1" applyFont="1" applyFill="1" applyBorder="1" applyAlignment="1">
      <alignment vertical="center"/>
    </xf>
    <xf numFmtId="0" fontId="12" fillId="9" borderId="0" xfId="49" applyNumberFormat="1" applyFont="1" applyFill="1" applyBorder="1"/>
    <xf numFmtId="0" fontId="13" fillId="4" borderId="5" xfId="49" applyNumberFormat="1" applyFont="1" applyFill="1" applyBorder="1" applyAlignment="1">
      <alignment vertical="center" wrapText="1"/>
    </xf>
    <xf numFmtId="0" fontId="12" fillId="5" borderId="5" xfId="49" applyNumberFormat="1" applyFont="1" applyFill="1" applyBorder="1" applyAlignment="1">
      <alignment vertical="top" wrapText="1"/>
    </xf>
    <xf numFmtId="0" fontId="3" fillId="4" borderId="0" xfId="49" applyNumberFormat="1" applyFont="1" applyFill="1" applyBorder="1"/>
    <xf numFmtId="0" fontId="6" fillId="0" borderId="1" xfId="49" applyNumberFormat="1" applyFont="1" applyFill="1" applyBorder="1"/>
    <xf numFmtId="0" fontId="6" fillId="0" borderId="2" xfId="49" applyNumberFormat="1" applyFont="1" applyFill="1" applyBorder="1"/>
    <xf numFmtId="0" fontId="6" fillId="0" borderId="3" xfId="49" applyNumberFormat="1" applyFont="1" applyFill="1" applyBorder="1"/>
    <xf numFmtId="0" fontId="6" fillId="0" borderId="4" xfId="49" applyNumberFormat="1" applyFont="1" applyFill="1" applyBorder="1"/>
    <xf numFmtId="0" fontId="6" fillId="0" borderId="5" xfId="49" applyNumberFormat="1" applyFont="1" applyFill="1" applyBorder="1"/>
    <xf numFmtId="0" fontId="6" fillId="0" borderId="6" xfId="49" applyNumberFormat="1" applyFont="1" applyFill="1" applyBorder="1"/>
    <xf numFmtId="0" fontId="10" fillId="8" borderId="4" xfId="49" applyNumberFormat="1" applyFont="1" applyFill="1" applyBorder="1"/>
    <xf numFmtId="0" fontId="10" fillId="8" borderId="5" xfId="49" applyNumberFormat="1" applyFont="1" applyFill="1" applyBorder="1"/>
    <xf numFmtId="0" fontId="10" fillId="8" borderId="6" xfId="49" applyNumberFormat="1" applyFont="1" applyFill="1" applyBorder="1"/>
    <xf numFmtId="0" fontId="14" fillId="9" borderId="0" xfId="49" applyNumberFormat="1" applyFont="1" applyFill="1" applyBorder="1" applyAlignment="1">
      <alignment vertical="center"/>
    </xf>
    <xf numFmtId="0" fontId="12" fillId="0" borderId="0" xfId="49" applyNumberFormat="1" applyFont="1" applyFill="1" applyBorder="1" applyAlignment="1">
      <alignment vertical="center" wrapText="1"/>
    </xf>
    <xf numFmtId="0" fontId="12" fillId="0" borderId="7" xfId="49" applyNumberFormat="1" applyFont="1" applyFill="1" applyBorder="1" applyAlignment="1">
      <alignment vertical="center" wrapText="1"/>
    </xf>
    <xf numFmtId="0" fontId="12" fillId="0" borderId="8" xfId="49" applyNumberFormat="1" applyFont="1" applyFill="1" applyBorder="1" applyAlignment="1">
      <alignment vertical="center" wrapText="1"/>
    </xf>
    <xf numFmtId="0" fontId="12" fillId="0" borderId="9" xfId="49" applyNumberFormat="1" applyFont="1" applyFill="1" applyBorder="1" applyAlignment="1">
      <alignment vertical="center" wrapText="1"/>
    </xf>
    <xf numFmtId="0" fontId="6" fillId="3" borderId="1" xfId="49" applyNumberFormat="1" applyFont="1" applyFill="1" applyBorder="1" applyAlignment="1">
      <alignment wrapText="1"/>
    </xf>
    <xf numFmtId="0" fontId="6" fillId="3" borderId="4" xfId="49" applyNumberFormat="1" applyFont="1" applyFill="1" applyBorder="1" applyAlignment="1">
      <alignment wrapText="1"/>
    </xf>
    <xf numFmtId="0" fontId="6" fillId="3" borderId="7" xfId="49" applyNumberFormat="1" applyFont="1" applyFill="1" applyBorder="1" applyAlignment="1">
      <alignment wrapText="1"/>
    </xf>
    <xf numFmtId="0" fontId="4" fillId="6"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color rgb="FF375623"/>
      </font>
      <fill>
        <patternFill patternType="solid">
          <bgColor rgb="FFE2F0D9"/>
        </patternFill>
      </fill>
    </dxf>
    <dxf>
      <font>
        <color rgb="FFC00000"/>
      </font>
      <fill>
        <patternFill patternType="solid">
          <bgColor rgb="FFFCE8E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Tybfmxuu" displayName="Tybfmxuu" ref="A4:Q32" totalsRowShown="0">
  <autoFilter xmlns:etc="http://www.wps.cn/officeDocument/2017/etCustomData" ref="A4:Q32" etc:filterBottomFollowUsedRange="0"/>
  <tableColumns count="17">
    <tableColumn id="1" name="记录ID"/>
    <tableColumn id="2" name="层级"/>
    <tableColumn id="3" name="环节"/>
    <tableColumn id="4" name="主要输出"/>
    <tableColumn id="5" name="代表主体"/>
    <tableColumn id="6" name="商业成熟度"/>
    <tableColumn id="7" name="投资壁垒"/>
    <tableColumn id="8" name="核心卡点"/>
    <tableColumn id="9" name="成本/性能影响"/>
    <tableColumn id="10" name="建议进入方式"/>
    <tableColumn id="11" name="变更类型"/>
    <tableColumn id="12" name="数据属性"/>
    <tableColumn id="13" name="来源ID"/>
    <tableColumn id="14" name="发布主体"/>
    <tableColumn id="15" name="证据层级"/>
    <tableColumn id="16" name="需复核"/>
    <tableColumn id="17" name="更新时间"/>
  </tableColumns>
  <tableStyleInfo name="TableStyleMedium2" showFirstColumn="0" showLastColumn="0" showRowStripes="1" showColumnStripes="0"/>
</table>
</file>

<file path=xl/tables/table2.xml><?xml version="1.0" encoding="utf-8"?>
<table xmlns="http://schemas.openxmlformats.org/spreadsheetml/2006/main" id="2" name="Tn2o4c8g" displayName="Tn2o4c8g" ref="A4:T49" totalsRowShown="0">
  <autoFilter xmlns:etc="http://www.wps.cn/officeDocument/2017/etCustomData" ref="A4:T49" etc:filterBottomFollowUsedRange="0"/>
  <tableColumns count="20">
    <tableColumn id="1" name="记录ID"/>
    <tableColumn id="2" name="赛道"/>
    <tableColumn id="3" name="产品/方案"/>
    <tableColumn id="4" name="企业"/>
    <tableColumn id="5" name="用户/场景"/>
    <tableColumn id="6" name="核心功能"/>
    <tableColumn id="7" name="采购/付费主体"/>
    <tableColumn id="8" name="商业模式"/>
    <tableColumn id="9" name="公开价格"/>
    <tableColumn id="10" name="商业进展"/>
    <tableColumn id="11" name="阶段"/>
    <tableColumn id="12" name="武汉城投建议"/>
    <tableColumn id="13" name="变更类型"/>
    <tableColumn id="14" name="数据属性"/>
    <tableColumn id="15" name="来源ID"/>
    <tableColumn id="16" name="发布主体"/>
    <tableColumn id="17" name="来源链接"/>
    <tableColumn id="18" name="证据层级"/>
    <tableColumn id="19" name="需复核"/>
    <tableColumn id="20" name="更新时间"/>
  </tableColumns>
  <tableStyleInfo name="TableStyleMedium2" showFirstColumn="0" showLastColumn="0" showRowStripes="1" showColumnStripes="0"/>
</table>
</file>

<file path=xl/tables/table3.xml><?xml version="1.0" encoding="utf-8"?>
<table xmlns="http://schemas.openxmlformats.org/spreadsheetml/2006/main" id="3" name="Tqg73frk" displayName="Tqg73frk" ref="A4:P41" totalsRowShown="0">
  <autoFilter xmlns:etc="http://www.wps.cn/officeDocument/2017/etCustomData" ref="A4:P41" etc:filterBottomFollowUsedRange="0"/>
  <tableColumns count="16">
    <tableColumn id="1" name="记录ID"/>
    <tableColumn id="2" name="指标/环节"/>
    <tableColumn id="3" name="指标类型"/>
    <tableColumn id="4" name="年份"/>
    <tableColumn id="5" name="数值"/>
    <tableColumn id="6" name="单位"/>
    <tableColumn id="7" name="增速/毛利率"/>
    <tableColumn id="8" name="口径与局限"/>
    <tableColumn id="9" name="变更类型"/>
    <tableColumn id="10" name="数据属性"/>
    <tableColumn id="11" name="来源ID"/>
    <tableColumn id="12" name="发布主体"/>
    <tableColumn id="13" name="来源链接"/>
    <tableColumn id="14" name="证据层级"/>
    <tableColumn id="15" name="需复核"/>
    <tableColumn id="16" name="更新时间"/>
  </tableColumns>
  <tableStyleInfo name="TableStyleMedium2" showFirstColumn="0" showLastColumn="0" showRowStripes="1" showColumnStripes="0"/>
</table>
</file>

<file path=xl/tables/table4.xml><?xml version="1.0" encoding="utf-8"?>
<table xmlns="http://schemas.openxmlformats.org/spreadsheetml/2006/main" id="4" name="Tmdhyxcu" displayName="Tmdhyxcu" ref="A4:R34" totalsRowShown="0">
  <autoFilter xmlns:etc="http://www.wps.cn/officeDocument/2017/etCustomData" ref="A4:R34" etc:filterBottomFollowUsedRange="0"/>
  <tableColumns count="18">
    <tableColumn id="1" name="记录ID"/>
    <tableColumn id="2" name="技术层"/>
    <tableColumn id="3" name="技术方向"/>
    <tableColumn id="4" name="技术内涵"/>
    <tableColumn id="5" name="TRL"/>
    <tableColumn id="6" name="当前渗透"/>
    <tableColumn id="7" name="主要瓶颈"/>
    <tableColumn id="8" name="主流时间"/>
    <tableColumn id="9" name="代表主体"/>
    <tableColumn id="10" name="建议动作"/>
    <tableColumn id="11" name="变更类型"/>
    <tableColumn id="12" name="数据属性"/>
    <tableColumn id="13" name="来源ID"/>
    <tableColumn id="14" name="发布主体"/>
    <tableColumn id="15" name="来源链接"/>
    <tableColumn id="16" name="证据层级"/>
    <tableColumn id="17" name="需复核"/>
    <tableColumn id="18" name="更新时间"/>
  </tableColumns>
  <tableStyleInfo name="TableStyleMedium2" showFirstColumn="0" showLastColumn="0" showRowStripes="1" showColumnStripes="0"/>
</table>
</file>

<file path=xl/tables/table5.xml><?xml version="1.0" encoding="utf-8"?>
<table xmlns="http://schemas.openxmlformats.org/spreadsheetml/2006/main" id="5" name="Tn1qsk7n" displayName="Tn1qsk7n" ref="A4:M26" totalsRowShown="0">
  <autoFilter xmlns:etc="http://www.wps.cn/officeDocument/2017/etCustomData" ref="A4:M26" etc:filterBottomFollowUsedRange="0"/>
  <tableColumns count="13">
    <tableColumn id="1" name="记录ID"/>
    <tableColumn id="2" name="区域层级"/>
    <tableColumn id="3" name="城市/区域"/>
    <tableColumn id="4" name="优势方向"/>
    <tableColumn id="5" name="代表资源"/>
    <tableColumn id="6" name="建议功能分工"/>
    <tableColumn id="7" name="变更类型"/>
    <tableColumn id="8" name="来源ID"/>
    <tableColumn id="9" name="发布主体"/>
    <tableColumn id="10" name="来源链接"/>
    <tableColumn id="11" name="证据层级"/>
    <tableColumn id="12" name="需复核"/>
    <tableColumn id="13" name="更新时间"/>
  </tableColumns>
  <tableStyleInfo name="TableStyleMedium2" showFirstColumn="0" showLastColumn="0" showRowStripes="1" showColumnStripes="0"/>
</table>
</file>

<file path=xl/tables/table6.xml><?xml version="1.0" encoding="utf-8"?>
<table xmlns="http://schemas.openxmlformats.org/spreadsheetml/2006/main" id="6" name="Te5zdq40" displayName="Te5zdq40" ref="A4:P51" totalsRowShown="0">
  <autoFilter xmlns:etc="http://www.wps.cn/officeDocument/2017/etCustomData" ref="A4:P51" etc:filterBottomFollowUsedRange="0"/>
  <tableColumns count="16">
    <tableColumn id="1" name="记录ID"/>
    <tableColumn id="2" name="层级"/>
    <tableColumn id="3" name="时间"/>
    <tableColumn id="4" name="发布主体"/>
    <tableColumn id="5" name="政策名称"/>
    <tableColumn id="6" name="核心内容"/>
    <tableColumn id="7" name="影响环节"/>
    <tableColumn id="8" name="武汉城投建议"/>
    <tableColumn id="9" name="变更类型"/>
    <tableColumn id="10" name="数据属性"/>
    <tableColumn id="11" name="来源ID"/>
    <tableColumn id="12" name="图中显示来源"/>
    <tableColumn id="13" name="来源链接"/>
    <tableColumn id="14" name="证据层级"/>
    <tableColumn id="15" name="需复核"/>
    <tableColumn id="16" name="更新时间"/>
  </tableColumns>
  <tableStyleInfo name="TableStyleMedium2" showFirstColumn="0" showLastColumn="0" showRowStripes="1" showColumnStripes="0"/>
</table>
</file>

<file path=xl/tables/table7.xml><?xml version="1.0" encoding="utf-8"?>
<table xmlns="http://schemas.openxmlformats.org/spreadsheetml/2006/main" id="7" name="T0cp2425" displayName="T0cp2425" ref="A4:V70" totalsRowShown="0">
  <autoFilter xmlns:etc="http://www.wps.cn/officeDocument/2017/etCustomData" ref="A4:V70" etc:filterBottomFollowUsedRange="0"/>
  <tableColumns count="22">
    <tableColumn id="1" name="企业ID"/>
    <tableColumn id="2" name="企业"/>
    <tableColumn id="3" name="总部"/>
    <tableColumn id="4" name="赛道"/>
    <tableColumn id="5" name="产业角色"/>
    <tableColumn id="6" name="代表产品/方案"/>
    <tableColumn id="7" name="公开商业进展"/>
    <tableColumn id="8" name="资本阶段"/>
    <tableColumn id="9" name="财务/盈利"/>
    <tableColumn id="10" name="资质状态"/>
    <tableColumn id="11" name="建议合作方式"/>
    <tableColumn id="12" name="武汉落地功能"/>
    <tableColumn id="13" name="协同程度"/>
    <tableColumn id="14" name="主要尽调事项"/>
    <tableColumn id="15" name="建议分级"/>
    <tableColumn id="16" name="变更类型"/>
    <tableColumn id="17" name="来源ID"/>
    <tableColumn id="18" name="发布主体"/>
    <tableColumn id="19" name="来源链接"/>
    <tableColumn id="20" name="证据层级"/>
    <tableColumn id="21" name="需复核"/>
    <tableColumn id="22" name="更新时间"/>
  </tableColumns>
  <tableStyleInfo name="TableStyleMedium2" showFirstColumn="0" showLastColumn="0" showRowStripes="1" showColumnStripes="0"/>
</table>
</file>

<file path=xl/tables/table8.xml><?xml version="1.0" encoding="utf-8"?>
<table xmlns="http://schemas.openxmlformats.org/spreadsheetml/2006/main" id="8" name="Tdtw4sc6" displayName="Tdtw4sc6" ref="A4:U58" totalsRowShown="0">
  <autoFilter xmlns:etc="http://www.wps.cn/officeDocument/2017/etCustomData" ref="A4:U58" etc:filterBottomFollowUsedRange="0"/>
  <tableColumns count="21">
    <tableColumn id="1" name="项目ID"/>
    <tableColumn id="2" name="项目/事件"/>
    <tableColumn id="3" name="地区"/>
    <tableColumn id="4" name="牵头/合作主体"/>
    <tableColumn id="5" name="类型"/>
    <tableColumn id="6" name="状态"/>
    <tableColumn id="7" name="核心内容"/>
    <tableColumn id="8" name="参与主体"/>
    <tableColumn id="9" name="建议合作方式"/>
    <tableColumn id="10" name="合理资金需求"/>
    <tableColumn id="11" name="持有/建设周期"/>
    <tableColumn id="12" name="退出/收益路径"/>
    <tableColumn id="13" name="主要风险"/>
    <tableColumn id="14" name="公开确认状态"/>
    <tableColumn id="15" name="变更类型"/>
    <tableColumn id="16" name="来源ID"/>
    <tableColumn id="17" name="发布主体"/>
    <tableColumn id="18" name="来源链接"/>
    <tableColumn id="19" name="证据层级"/>
    <tableColumn id="20" name="需复核"/>
    <tableColumn id="21" name="更新时间"/>
  </tableColumns>
  <tableStyleInfo name="TableStyleMedium2" showFirstColumn="0" showLastColumn="0" showRowStripes="1" showColumnStripes="0"/>
</table>
</file>

<file path=xl/tables/table9.xml><?xml version="1.0" encoding="utf-8"?>
<table xmlns="http://schemas.openxmlformats.org/spreadsheetml/2006/main" id="9" name="Tmt7x5i6" displayName="Tmt7x5i6" ref="A4:O28" totalsRowShown="0">
  <autoFilter xmlns:etc="http://www.wps.cn/officeDocument/2017/etCustomData" ref="A4:O28" etc:filterBottomFollowUsedRange="0"/>
  <tableColumns count="15">
    <tableColumn id="1" name="问题ID"/>
    <tableColumn id="2" name="问题类型"/>
    <tableColumn id="3" name="具体表现"/>
    <tableColumn id="4" name="产业影响"/>
    <tableColumn id="5" name="解决路径"/>
    <tableColumn id="6" name="责任主体"/>
    <tableColumn id="7" name="时序"/>
    <tableColumn id="8" name="验证指标"/>
    <tableColumn id="9" name="变更类型"/>
    <tableColumn id="10" name="来源ID"/>
    <tableColumn id="11" name="发布主体"/>
    <tableColumn id="12" name="来源链接"/>
    <tableColumn id="13" name="证据层级"/>
    <tableColumn id="14" name="需复核"/>
    <tableColumn id="15" name="更新时间"/>
  </tableColumns>
  <tableStyleInfo name="TableStyleMedium2" showFirstColumn="0" showLastColumn="0" showRowStripes="1" showColumnStripes="0"/>
</table>
</file>

<file path=xl/tables/table10.xml><?xml version="1.0" encoding="utf-8"?>
<table xmlns="http://schemas.openxmlformats.org/spreadsheetml/2006/main" id="10" name="Tj5jl6ku" displayName="Tj5jl6ku" ref="A4:P30" totalsRowShown="0">
  <autoFilter xmlns:etc="http://www.wps.cn/officeDocument/2017/etCustomData" ref="A4:P30" etc:filterBottomFollowUsedRange="0"/>
  <tableColumns count="16">
    <tableColumn id="1" name="资源ID"/>
    <tableColumn id="2" name="归属"/>
    <tableColumn id="3" name="具体主体/资源"/>
    <tableColumn id="4" name="资源类型"/>
    <tableColumn id="5" name="所在地"/>
    <tableColumn id="6" name="公开确认内容"/>
    <tableColumn id="7" name="运营情况"/>
    <tableColumn id="8" name="可协同方式"/>
    <tableColumn id="9" name="待核实事项"/>
    <tableColumn id="10" name="变更类型"/>
    <tableColumn id="11" name="来源ID"/>
    <tableColumn id="12" name="发布主体"/>
    <tableColumn id="13" name="来源链接"/>
    <tableColumn id="14" name="证据层级"/>
    <tableColumn id="15" name="需复核"/>
    <tableColumn id="16" name="更新时间"/>
  </tableColumns>
  <tableStyleInfo name="TableStyleMedium2" showFirstColumn="0" showLastColumn="0" showRowStripes="1" showColumnStripes="0"/>
</table>
</file>

<file path=xl/tables/table11.xml><?xml version="1.0" encoding="utf-8"?>
<table xmlns="http://schemas.openxmlformats.org/spreadsheetml/2006/main" id="11" name="Tky4vouy" displayName="Tky4vouy" ref="A4:L117" totalsRowShown="0">
  <autoFilter xmlns:etc="http://www.wps.cn/officeDocument/2017/etCustomData" ref="A4:L117" etc:filterBottomFollowUsedRange="0"/>
  <tableColumns count="12">
    <tableColumn id="1" name="来源ID"/>
    <tableColumn id="2" name="发布主体"/>
    <tableColumn id="3" name="图中显示来源"/>
    <tableColumn id="4" name="资料名称"/>
    <tableColumn id="5" name="发布日期/查询日"/>
    <tableColumn id="6" name="来源链接"/>
    <tableColumn id="7" name="类别"/>
    <tableColumn id="8" name="可信度"/>
    <tableColumn id="9" name="来源状态"/>
    <tableColumn id="10" name="证据类型"/>
    <tableColumn id="11" name="信息更新时间"/>
    <tableColumn id="12" name="核验状态"/>
  </tableColumns>
  <tableStyleInfo name="TableStyleMedium2" showFirstColumn="0" showLastColumn="0" showRowStripes="1" showColumnStripes="0"/>
</table>
</file>

<file path=xl/tables/table12.xml><?xml version="1.0" encoding="utf-8"?>
<table xmlns="http://schemas.openxmlformats.org/spreadsheetml/2006/main" id="12" name="T1nh5ygn" displayName="T1nh5ygn" ref="A4:G16" totalsRowShown="0">
  <autoFilter xmlns:etc="http://www.wps.cn/officeDocument/2017/etCustomData" ref="A4:G16" etc:filterBottomFollowUsedRange="0"/>
  <tableColumns count="7">
    <tableColumn id="1" name="日期"/>
    <tableColumn id="2" name="模块"/>
    <tableColumn id="3" name="变更类型"/>
    <tableColumn id="4" name="变更说明"/>
    <tableColumn id="5" name="原库记录量/状态"/>
    <tableColumn id="6" name="增强库记录量/状态"/>
    <tableColumn id="7" name="完成状态"/>
  </tableColumns>
  <tableStyleInfo name="TableStyleMedium2" showFirstColumn="0" showLastColumn="0" showRowStripes="1" showColumnStripes="0"/>
</table>
</file>

<file path=xl/tables/table13.xml><?xml version="1.0" encoding="utf-8"?>
<table xmlns="http://schemas.openxmlformats.org/spreadsheetml/2006/main" id="13" name="Ttqeiaq8" displayName="Ttqeiaq8" ref="A4:H24" totalsRowShown="0">
  <autoFilter xmlns:etc="http://www.wps.cn/officeDocument/2017/etCustomData" ref="A4:H24" etc:filterBottomFollowUsedRange="0"/>
  <tableColumns count="8">
    <tableColumn id="1" name="缺口ID"/>
    <tableColumn id="2" name="模块"/>
    <tableColumn id="3" name="缺口事项"/>
    <tableColumn id="4" name="重要性"/>
    <tableColumn id="5" name="建议核实方式"/>
    <tableColumn id="6" name="责任主体"/>
    <tableColumn id="7" name="时点"/>
    <tableColumn id="8" name="状态"/>
  </tableColumns>
  <tableStyleInfo name="TableStyleMedium2" showFirstColumn="0" showLastColumn="0" showRowStripes="1" showColumnStripes="0"/>
</table>
</file>

<file path=xl/tables/table14.xml><?xml version="1.0" encoding="utf-8"?>
<table xmlns="http://schemas.openxmlformats.org/spreadsheetml/2006/main" id="14" name="Te1je3tu" displayName="Te1je3tu" ref="A4:J19" totalsRowShown="0">
  <autoFilter xmlns:etc="http://www.wps.cn/officeDocument/2017/etCustomData" ref="A4:J19" etc:filterBottomFollowUsedRange="0"/>
  <tableColumns count="10">
    <tableColumn id="1" name="查询ID"/>
    <tableColumn id="2" name="轮次"/>
    <tableColumn id="3" name="主题"/>
    <tableColumn id="4" name="检索式/动作"/>
    <tableColumn id="5" name="优先来源"/>
    <tableColumn id="6" name="主要结果"/>
    <tableColumn id="7" name="新增有效记录"/>
    <tableColumn id="8" name="重复结果率"/>
    <tableColumn id="9" name="证据质量"/>
    <tableColumn id="10" name="饱和判断"/>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showGridLines="0" topLeftCell="A15" workbookViewId="0">
      <selection activeCell="F11" sqref="F11"/>
    </sheetView>
  </sheetViews>
  <sheetFormatPr defaultColWidth="9" defaultRowHeight="16.8" outlineLevelCol="7"/>
  <cols>
    <col min="1" max="1" width="16" customWidth="1"/>
    <col min="2" max="2" width="62" customWidth="1"/>
    <col min="3" max="8" width="16" customWidth="1"/>
  </cols>
  <sheetData>
    <row r="1" ht="40" customHeight="1" spans="1:8">
      <c r="A1" s="67" t="s">
        <v>0</v>
      </c>
      <c r="B1" s="67"/>
      <c r="C1" s="67"/>
      <c r="D1" s="67"/>
      <c r="E1" s="67"/>
      <c r="F1" s="67"/>
      <c r="G1" s="67"/>
      <c r="H1" s="67"/>
    </row>
    <row r="2" ht="26" customHeight="1" spans="1:8">
      <c r="A2" s="68" t="s">
        <v>1</v>
      </c>
      <c r="B2" s="68"/>
      <c r="C2" s="68"/>
      <c r="D2" s="68"/>
      <c r="E2" s="68"/>
      <c r="F2" s="68"/>
      <c r="G2" s="68"/>
      <c r="H2" s="68"/>
    </row>
    <row r="4" spans="1:8">
      <c r="A4" s="69" t="s">
        <v>2</v>
      </c>
      <c r="B4" s="70" t="s">
        <v>3</v>
      </c>
      <c r="D4" s="45" t="s">
        <v>4</v>
      </c>
      <c r="E4" s="45"/>
      <c r="F4" s="45"/>
      <c r="G4" s="45"/>
      <c r="H4" s="45"/>
    </row>
    <row r="5" spans="1:8">
      <c r="A5" s="69" t="s">
        <v>5</v>
      </c>
      <c r="B5" s="70" t="s">
        <v>6</v>
      </c>
      <c r="D5" s="71" t="s">
        <v>7</v>
      </c>
      <c r="E5" s="71" t="s">
        <v>8</v>
      </c>
      <c r="F5" s="71" t="s">
        <v>9</v>
      </c>
      <c r="G5" s="71" t="s">
        <v>10</v>
      </c>
      <c r="H5" s="71" t="s">
        <v>11</v>
      </c>
    </row>
    <row r="6" spans="1:8">
      <c r="A6" s="69" t="s">
        <v>12</v>
      </c>
      <c r="B6" s="70" t="s">
        <v>13</v>
      </c>
      <c r="D6" s="72" t="s">
        <v>14</v>
      </c>
      <c r="E6" s="73">
        <v>18</v>
      </c>
      <c r="F6" s="73">
        <v>28</v>
      </c>
      <c r="G6" s="73">
        <v>25</v>
      </c>
      <c r="H6" s="74" t="s">
        <v>15</v>
      </c>
    </row>
    <row r="7" spans="1:8">
      <c r="A7" s="69" t="s">
        <v>16</v>
      </c>
      <c r="B7" s="70" t="s">
        <v>17</v>
      </c>
      <c r="D7" s="75" t="s">
        <v>18</v>
      </c>
      <c r="E7" s="76">
        <v>16</v>
      </c>
      <c r="F7" s="76">
        <v>45</v>
      </c>
      <c r="G7" s="76">
        <v>40</v>
      </c>
      <c r="H7" s="77" t="s">
        <v>15</v>
      </c>
    </row>
    <row r="8" spans="1:8">
      <c r="A8" s="69" t="s">
        <v>19</v>
      </c>
      <c r="B8" s="70" t="s">
        <v>20</v>
      </c>
      <c r="D8" s="75" t="s">
        <v>21</v>
      </c>
      <c r="E8" s="76">
        <v>13</v>
      </c>
      <c r="F8" s="76">
        <v>37</v>
      </c>
      <c r="G8" s="76">
        <v>30</v>
      </c>
      <c r="H8" s="77" t="s">
        <v>15</v>
      </c>
    </row>
    <row r="9" spans="1:8">
      <c r="A9" s="69" t="s">
        <v>22</v>
      </c>
      <c r="B9" s="70" t="s">
        <v>23</v>
      </c>
      <c r="D9" s="75" t="s">
        <v>24</v>
      </c>
      <c r="E9" s="76">
        <v>15</v>
      </c>
      <c r="F9" s="76">
        <v>30</v>
      </c>
      <c r="G9" s="76">
        <v>25</v>
      </c>
      <c r="H9" s="77" t="s">
        <v>15</v>
      </c>
    </row>
    <row r="10" spans="1:8">
      <c r="A10" s="69" t="s">
        <v>25</v>
      </c>
      <c r="B10" s="70" t="s">
        <v>26</v>
      </c>
      <c r="D10" s="75" t="s">
        <v>27</v>
      </c>
      <c r="E10" s="76">
        <v>12</v>
      </c>
      <c r="F10" s="76">
        <v>22</v>
      </c>
      <c r="G10" s="76">
        <v>20</v>
      </c>
      <c r="H10" s="77" t="s">
        <v>15</v>
      </c>
    </row>
    <row r="11" spans="1:8">
      <c r="A11" s="69" t="s">
        <v>28</v>
      </c>
      <c r="B11" s="70" t="s">
        <v>29</v>
      </c>
      <c r="D11" s="75" t="s">
        <v>30</v>
      </c>
      <c r="E11" s="76">
        <v>12</v>
      </c>
      <c r="F11" s="76">
        <v>47</v>
      </c>
      <c r="G11" s="76">
        <v>40</v>
      </c>
      <c r="H11" s="77" t="s">
        <v>15</v>
      </c>
    </row>
    <row r="12" spans="1:8">
      <c r="D12" s="75" t="s">
        <v>31</v>
      </c>
      <c r="E12" s="76">
        <v>16</v>
      </c>
      <c r="F12" s="76">
        <v>66</v>
      </c>
      <c r="G12" s="76">
        <v>60</v>
      </c>
      <c r="H12" s="77" t="s">
        <v>15</v>
      </c>
    </row>
    <row r="13" spans="1:8">
      <c r="D13" s="75" t="s">
        <v>32</v>
      </c>
      <c r="E13" s="76">
        <v>14</v>
      </c>
      <c r="F13" s="76">
        <v>54</v>
      </c>
      <c r="G13" s="76">
        <v>40</v>
      </c>
      <c r="H13" s="77" t="s">
        <v>15</v>
      </c>
    </row>
    <row r="14" spans="1:8">
      <c r="D14" s="75" t="s">
        <v>33</v>
      </c>
      <c r="E14" s="76">
        <v>12</v>
      </c>
      <c r="F14" s="76">
        <v>24</v>
      </c>
      <c r="G14" s="76">
        <v>20</v>
      </c>
      <c r="H14" s="77" t="s">
        <v>15</v>
      </c>
    </row>
    <row r="15" spans="1:8">
      <c r="A15" s="45" t="s">
        <v>34</v>
      </c>
      <c r="B15" s="45"/>
      <c r="C15" s="45"/>
      <c r="D15" s="78" t="s">
        <v>35</v>
      </c>
      <c r="E15" s="79">
        <v>14</v>
      </c>
      <c r="F15" s="79">
        <v>26</v>
      </c>
      <c r="G15" s="79">
        <v>15</v>
      </c>
      <c r="H15" s="80" t="s">
        <v>15</v>
      </c>
    </row>
    <row r="16" ht="38" customHeight="1" spans="1:8">
      <c r="A16" s="81" t="s">
        <v>36</v>
      </c>
      <c r="B16" s="82" t="s">
        <v>37</v>
      </c>
      <c r="C16" s="82"/>
      <c r="D16" s="83"/>
      <c r="E16" s="84"/>
      <c r="F16" s="84"/>
      <c r="G16" s="84"/>
      <c r="H16" s="85"/>
    </row>
    <row r="17" ht="38" customHeight="1" spans="1:8">
      <c r="A17" s="81" t="s">
        <v>38</v>
      </c>
      <c r="B17" s="82" t="s">
        <v>39</v>
      </c>
      <c r="C17" s="82"/>
      <c r="D17" s="82"/>
      <c r="E17" s="82"/>
      <c r="F17" s="82"/>
      <c r="G17" s="82"/>
      <c r="H17" s="82"/>
    </row>
    <row r="18" ht="38" customHeight="1" spans="1:8">
      <c r="A18" s="81" t="s">
        <v>40</v>
      </c>
      <c r="B18" s="82" t="s">
        <v>41</v>
      </c>
      <c r="C18" s="82"/>
      <c r="D18" s="82"/>
      <c r="E18" s="82"/>
      <c r="F18" s="82"/>
      <c r="G18" s="82"/>
      <c r="H18" s="82"/>
    </row>
    <row r="19" ht="38" customHeight="1" spans="1:8">
      <c r="A19" s="81" t="s">
        <v>42</v>
      </c>
      <c r="B19" s="82" t="s">
        <v>43</v>
      </c>
      <c r="C19" s="82"/>
      <c r="D19" s="82"/>
      <c r="E19" s="82"/>
      <c r="F19" s="82"/>
      <c r="G19" s="82"/>
      <c r="H19" s="82"/>
    </row>
    <row r="20" ht="38" customHeight="1" spans="1:8">
      <c r="A20" s="81" t="s">
        <v>44</v>
      </c>
      <c r="B20" s="82" t="s">
        <v>45</v>
      </c>
      <c r="C20" s="82"/>
      <c r="D20" s="82"/>
      <c r="E20" s="82"/>
      <c r="F20" s="82"/>
      <c r="G20" s="82"/>
      <c r="H20" s="82"/>
    </row>
    <row r="22" spans="1:8">
      <c r="A22" s="46" t="s">
        <v>46</v>
      </c>
      <c r="B22" s="46"/>
      <c r="C22" s="46"/>
      <c r="D22" s="46"/>
      <c r="E22" s="46"/>
      <c r="F22" s="46"/>
      <c r="G22" s="46"/>
      <c r="H22" s="46"/>
    </row>
    <row r="23" spans="1:8">
      <c r="A23" s="86" t="s">
        <v>47</v>
      </c>
      <c r="B23" s="48" t="s">
        <v>48</v>
      </c>
      <c r="C23" s="49" t="s">
        <v>49</v>
      </c>
    </row>
    <row r="24" spans="1:8">
      <c r="A24" s="87" t="s">
        <v>50</v>
      </c>
      <c r="B24" s="52" t="s">
        <v>51</v>
      </c>
      <c r="C24" s="53" t="s">
        <v>14</v>
      </c>
    </row>
    <row r="25" ht="28" spans="1:8">
      <c r="A25" s="87" t="s">
        <v>52</v>
      </c>
      <c r="B25" s="52" t="s">
        <v>53</v>
      </c>
      <c r="C25" s="53" t="s">
        <v>54</v>
      </c>
    </row>
    <row r="26" spans="1:8">
      <c r="A26" s="87" t="s">
        <v>55</v>
      </c>
      <c r="B26" s="52" t="s">
        <v>56</v>
      </c>
      <c r="C26" s="53" t="s">
        <v>24</v>
      </c>
    </row>
    <row r="27" spans="1:8">
      <c r="A27" s="87" t="s">
        <v>57</v>
      </c>
      <c r="B27" s="52" t="s">
        <v>58</v>
      </c>
      <c r="C27" s="53" t="s">
        <v>59</v>
      </c>
    </row>
    <row r="28" spans="1:8">
      <c r="A28" s="87" t="s">
        <v>60</v>
      </c>
      <c r="B28" s="52" t="s">
        <v>61</v>
      </c>
      <c r="C28" s="53" t="s">
        <v>62</v>
      </c>
    </row>
    <row r="29" ht="28" spans="1:8">
      <c r="A29" s="87" t="s">
        <v>63</v>
      </c>
      <c r="B29" s="52" t="s">
        <v>64</v>
      </c>
      <c r="C29" s="53" t="s">
        <v>65</v>
      </c>
    </row>
    <row r="30" spans="1:8">
      <c r="A30" s="87" t="s">
        <v>66</v>
      </c>
      <c r="B30" s="52" t="s">
        <v>67</v>
      </c>
      <c r="C30" s="53" t="s">
        <v>68</v>
      </c>
    </row>
    <row r="31" spans="1:8">
      <c r="A31" s="87" t="s">
        <v>69</v>
      </c>
      <c r="B31" s="52" t="s">
        <v>70</v>
      </c>
      <c r="C31" s="53" t="s">
        <v>71</v>
      </c>
    </row>
    <row r="32" spans="1:8">
      <c r="A32" s="88" t="s">
        <v>72</v>
      </c>
      <c r="B32" s="56" t="s">
        <v>73</v>
      </c>
      <c r="C32" s="58" t="s">
        <v>74</v>
      </c>
    </row>
    <row r="34" ht="32" customHeight="1" spans="1:8">
      <c r="A34" s="89" t="s">
        <v>75</v>
      </c>
      <c r="B34" s="89"/>
      <c r="C34" s="89"/>
      <c r="D34" s="89"/>
      <c r="E34" s="89"/>
      <c r="F34" s="89"/>
      <c r="G34" s="89"/>
      <c r="H34" s="89"/>
    </row>
  </sheetData>
  <mergeCells count="11">
    <mergeCell ref="A1:H1"/>
    <mergeCell ref="A2:H2"/>
    <mergeCell ref="D4:H4"/>
    <mergeCell ref="A15:H15"/>
    <mergeCell ref="B16:H16"/>
    <mergeCell ref="B17:H17"/>
    <mergeCell ref="B18:H18"/>
    <mergeCell ref="B19:H19"/>
    <mergeCell ref="B20:H20"/>
    <mergeCell ref="A22:H22"/>
    <mergeCell ref="A34:H34"/>
  </mergeCells>
  <conditionalFormatting sqref="H6:H16">
    <cfRule type="containsText" dxfId="0" priority="1" operator="between" text="达标">
      <formula>NOT(ISERROR(SEARCH("达标",H6)))</formula>
    </cfRule>
    <cfRule type="containsText" dxfId="1" priority="2" operator="between" text="未达标">
      <formula>NOT(ISERROR(SEARCH("未达标",H6)))</formula>
    </cfRule>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
  <sheetViews>
    <sheetView showGridLines="0" topLeftCell="A5" workbookViewId="0">
      <selection activeCell="A1" sqref="A1:Q1"/>
    </sheetView>
  </sheetViews>
  <sheetFormatPr defaultColWidth="9" defaultRowHeight="16.8"/>
  <cols>
    <col min="1" max="1" width="11" customWidth="1"/>
    <col min="2" max="2" width="15" customWidth="1"/>
    <col min="3" max="3" width="22" customWidth="1"/>
    <col min="4" max="4" width="32" customWidth="1"/>
    <col min="5" max="5" width="30" customWidth="1"/>
    <col min="6" max="7" width="12" customWidth="1"/>
    <col min="8" max="8" width="32" customWidth="1"/>
    <col min="9" max="9" width="27" customWidth="1"/>
    <col min="10" max="10" width="25" customWidth="1"/>
    <col min="11" max="11" width="11" customWidth="1"/>
    <col min="12" max="12" width="14" customWidth="1"/>
    <col min="13" max="13" width="12" customWidth="1"/>
    <col min="14" max="14" width="25" customWidth="1"/>
    <col min="15" max="15" width="16" customWidth="1"/>
    <col min="16" max="16" width="10" customWidth="1"/>
    <col min="17" max="17" width="12" customWidth="1"/>
  </cols>
  <sheetData>
    <row r="1" ht="32" customHeight="1" spans="1:17">
      <c r="A1" s="1" t="s">
        <v>76</v>
      </c>
      <c r="B1" s="1"/>
      <c r="C1" s="1"/>
      <c r="D1" s="1"/>
      <c r="E1" s="1"/>
      <c r="F1" s="1"/>
      <c r="G1" s="1"/>
      <c r="H1" s="1"/>
      <c r="I1" s="1"/>
      <c r="J1" s="1"/>
      <c r="K1" s="1"/>
      <c r="L1" s="1"/>
      <c r="M1" s="1"/>
      <c r="N1" s="1"/>
      <c r="O1" s="1"/>
      <c r="P1" s="1"/>
      <c r="Q1" s="1"/>
    </row>
    <row r="2" ht="34" customHeight="1" spans="1:17">
      <c r="A2" s="2" t="s">
        <v>77</v>
      </c>
      <c r="B2" s="2"/>
      <c r="C2" s="2"/>
      <c r="D2" s="2"/>
      <c r="E2" s="2"/>
      <c r="F2" s="2"/>
      <c r="G2" s="2"/>
      <c r="H2" s="2"/>
      <c r="I2" s="2"/>
      <c r="J2" s="2"/>
      <c r="K2" s="2"/>
      <c r="L2" s="2"/>
      <c r="M2" s="2"/>
      <c r="N2" s="2"/>
      <c r="O2" s="2"/>
      <c r="P2" s="2"/>
      <c r="Q2" s="2"/>
    </row>
    <row r="4" ht="32" customHeight="1" spans="1:17">
      <c r="A4" s="3" t="s">
        <v>78</v>
      </c>
      <c r="B4" s="3" t="s">
        <v>79</v>
      </c>
      <c r="C4" s="3" t="s">
        <v>80</v>
      </c>
      <c r="D4" s="3" t="s">
        <v>81</v>
      </c>
      <c r="E4" s="3" t="s">
        <v>82</v>
      </c>
      <c r="F4" s="3" t="s">
        <v>83</v>
      </c>
      <c r="G4" s="3" t="s">
        <v>84</v>
      </c>
      <c r="H4" s="3" t="s">
        <v>85</v>
      </c>
      <c r="I4" s="3" t="s">
        <v>86</v>
      </c>
      <c r="J4" s="3" t="s">
        <v>87</v>
      </c>
      <c r="K4" s="3" t="s">
        <v>88</v>
      </c>
      <c r="L4" s="3" t="s">
        <v>89</v>
      </c>
      <c r="M4" s="3" t="s">
        <v>90</v>
      </c>
      <c r="N4" s="3" t="s">
        <v>91</v>
      </c>
      <c r="O4" s="3" t="s">
        <v>92</v>
      </c>
      <c r="P4" s="3" t="s">
        <v>93</v>
      </c>
      <c r="Q4" s="3" t="s">
        <v>94</v>
      </c>
    </row>
    <row r="5" spans="1:17">
      <c r="A5" s="4" t="s">
        <v>95</v>
      </c>
      <c r="B5" s="5" t="s">
        <v>96</v>
      </c>
      <c r="C5" s="5" t="s">
        <v>97</v>
      </c>
      <c r="D5" s="5" t="s">
        <v>98</v>
      </c>
      <c r="E5" s="5" t="s">
        <v>99</v>
      </c>
      <c r="F5" s="5" t="s">
        <v>100</v>
      </c>
      <c r="G5" s="5" t="s">
        <v>101</v>
      </c>
      <c r="H5" s="5" t="s">
        <v>102</v>
      </c>
      <c r="I5" s="5" t="s">
        <v>103</v>
      </c>
      <c r="J5" s="5" t="s">
        <v>104</v>
      </c>
      <c r="K5" s="5" t="s">
        <v>105</v>
      </c>
      <c r="L5" s="5" t="s">
        <v>106</v>
      </c>
      <c r="M5" s="5" t="s">
        <v>107</v>
      </c>
      <c r="N5" s="5" t="s">
        <v>108</v>
      </c>
      <c r="O5" s="5" t="s">
        <v>109</v>
      </c>
      <c r="P5" s="5" t="s">
        <v>110</v>
      </c>
      <c r="Q5" s="6" t="s">
        <v>111</v>
      </c>
    </row>
    <row r="6" spans="1:17">
      <c r="A6" s="7" t="s">
        <v>112</v>
      </c>
      <c r="B6" s="8" t="s">
        <v>96</v>
      </c>
      <c r="C6" s="8" t="s">
        <v>113</v>
      </c>
      <c r="D6" s="8" t="s">
        <v>114</v>
      </c>
      <c r="E6" s="8" t="s">
        <v>115</v>
      </c>
      <c r="F6" s="8" t="s">
        <v>101</v>
      </c>
      <c r="G6" s="8" t="s">
        <v>100</v>
      </c>
      <c r="H6" s="8" t="s">
        <v>116</v>
      </c>
      <c r="I6" s="8" t="s">
        <v>117</v>
      </c>
      <c r="J6" s="8" t="s">
        <v>118</v>
      </c>
      <c r="K6" s="8" t="s">
        <v>105</v>
      </c>
      <c r="L6" s="8" t="s">
        <v>106</v>
      </c>
      <c r="M6" s="8" t="s">
        <v>119</v>
      </c>
      <c r="N6" s="8" t="s">
        <v>120</v>
      </c>
      <c r="O6" s="8" t="s">
        <v>121</v>
      </c>
      <c r="P6" s="8" t="s">
        <v>110</v>
      </c>
      <c r="Q6" s="9" t="s">
        <v>111</v>
      </c>
    </row>
    <row r="7" spans="1:17">
      <c r="A7" s="10" t="s">
        <v>122</v>
      </c>
      <c r="B7" s="11" t="s">
        <v>96</v>
      </c>
      <c r="C7" s="11" t="s">
        <v>123</v>
      </c>
      <c r="D7" s="11" t="s">
        <v>124</v>
      </c>
      <c r="E7" s="11" t="s">
        <v>125</v>
      </c>
      <c r="F7" s="11" t="s">
        <v>101</v>
      </c>
      <c r="G7" s="11" t="s">
        <v>101</v>
      </c>
      <c r="H7" s="11" t="s">
        <v>126</v>
      </c>
      <c r="I7" s="11" t="s">
        <v>127</v>
      </c>
      <c r="J7" s="11" t="s">
        <v>128</v>
      </c>
      <c r="K7" s="11" t="s">
        <v>105</v>
      </c>
      <c r="L7" s="11" t="s">
        <v>106</v>
      </c>
      <c r="M7" s="11" t="s">
        <v>129</v>
      </c>
      <c r="N7" s="11" t="s">
        <v>130</v>
      </c>
      <c r="O7" s="11" t="s">
        <v>109</v>
      </c>
      <c r="P7" s="11" t="s">
        <v>110</v>
      </c>
      <c r="Q7" s="12" t="s">
        <v>111</v>
      </c>
    </row>
    <row r="8" spans="1:17">
      <c r="A8" s="7" t="s">
        <v>131</v>
      </c>
      <c r="B8" s="8" t="s">
        <v>96</v>
      </c>
      <c r="C8" s="8" t="s">
        <v>132</v>
      </c>
      <c r="D8" s="8" t="s">
        <v>133</v>
      </c>
      <c r="E8" s="8" t="s">
        <v>134</v>
      </c>
      <c r="F8" s="8" t="s">
        <v>100</v>
      </c>
      <c r="G8" s="8" t="s">
        <v>135</v>
      </c>
      <c r="H8" s="8" t="s">
        <v>136</v>
      </c>
      <c r="I8" s="8" t="s">
        <v>137</v>
      </c>
      <c r="J8" s="8" t="s">
        <v>138</v>
      </c>
      <c r="K8" s="8" t="s">
        <v>105</v>
      </c>
      <c r="L8" s="8" t="s">
        <v>106</v>
      </c>
      <c r="M8" s="8" t="s">
        <v>119</v>
      </c>
      <c r="N8" s="8" t="s">
        <v>120</v>
      </c>
      <c r="O8" s="8" t="s">
        <v>121</v>
      </c>
      <c r="P8" s="8" t="s">
        <v>110</v>
      </c>
      <c r="Q8" s="9" t="s">
        <v>111</v>
      </c>
    </row>
    <row r="9" spans="1:17">
      <c r="A9" s="10" t="s">
        <v>139</v>
      </c>
      <c r="B9" s="11" t="s">
        <v>96</v>
      </c>
      <c r="C9" s="11" t="s">
        <v>140</v>
      </c>
      <c r="D9" s="11" t="s">
        <v>141</v>
      </c>
      <c r="E9" s="11" t="s">
        <v>142</v>
      </c>
      <c r="F9" s="11" t="s">
        <v>100</v>
      </c>
      <c r="G9" s="11" t="s">
        <v>100</v>
      </c>
      <c r="H9" s="11" t="s">
        <v>143</v>
      </c>
      <c r="I9" s="11" t="s">
        <v>144</v>
      </c>
      <c r="J9" s="11" t="s">
        <v>145</v>
      </c>
      <c r="K9" s="11" t="s">
        <v>105</v>
      </c>
      <c r="L9" s="11" t="s">
        <v>106</v>
      </c>
      <c r="M9" s="11" t="s">
        <v>146</v>
      </c>
      <c r="N9" s="11" t="s">
        <v>147</v>
      </c>
      <c r="O9" s="11" t="s">
        <v>109</v>
      </c>
      <c r="P9" s="11" t="s">
        <v>110</v>
      </c>
      <c r="Q9" s="12" t="s">
        <v>111</v>
      </c>
    </row>
    <row r="10" spans="1:17">
      <c r="A10" s="7" t="s">
        <v>148</v>
      </c>
      <c r="B10" s="8" t="s">
        <v>96</v>
      </c>
      <c r="C10" s="8" t="s">
        <v>149</v>
      </c>
      <c r="D10" s="8" t="s">
        <v>150</v>
      </c>
      <c r="E10" s="8" t="s">
        <v>151</v>
      </c>
      <c r="F10" s="8" t="s">
        <v>101</v>
      </c>
      <c r="G10" s="8" t="s">
        <v>135</v>
      </c>
      <c r="H10" s="8" t="s">
        <v>152</v>
      </c>
      <c r="I10" s="8" t="s">
        <v>153</v>
      </c>
      <c r="J10" s="8" t="s">
        <v>154</v>
      </c>
      <c r="K10" s="8" t="s">
        <v>105</v>
      </c>
      <c r="L10" s="8" t="s">
        <v>106</v>
      </c>
      <c r="M10" s="8" t="s">
        <v>155</v>
      </c>
      <c r="N10" s="8" t="s">
        <v>156</v>
      </c>
      <c r="O10" s="8" t="s">
        <v>109</v>
      </c>
      <c r="P10" s="8" t="s">
        <v>110</v>
      </c>
      <c r="Q10" s="9" t="s">
        <v>111</v>
      </c>
    </row>
    <row r="11" spans="1:17">
      <c r="A11" s="10" t="s">
        <v>157</v>
      </c>
      <c r="B11" s="11" t="s">
        <v>158</v>
      </c>
      <c r="C11" s="11" t="s">
        <v>159</v>
      </c>
      <c r="D11" s="11" t="s">
        <v>160</v>
      </c>
      <c r="E11" s="11" t="s">
        <v>161</v>
      </c>
      <c r="F11" s="11" t="s">
        <v>100</v>
      </c>
      <c r="G11" s="11" t="s">
        <v>101</v>
      </c>
      <c r="H11" s="11" t="s">
        <v>162</v>
      </c>
      <c r="I11" s="11" t="s">
        <v>163</v>
      </c>
      <c r="J11" s="11" t="s">
        <v>164</v>
      </c>
      <c r="K11" s="11" t="s">
        <v>105</v>
      </c>
      <c r="L11" s="11" t="s">
        <v>106</v>
      </c>
      <c r="M11" s="11" t="s">
        <v>107</v>
      </c>
      <c r="N11" s="11" t="s">
        <v>108</v>
      </c>
      <c r="O11" s="11" t="s">
        <v>109</v>
      </c>
      <c r="P11" s="11" t="s">
        <v>110</v>
      </c>
      <c r="Q11" s="12" t="s">
        <v>111</v>
      </c>
    </row>
    <row r="12" spans="1:17">
      <c r="A12" s="7" t="s">
        <v>165</v>
      </c>
      <c r="B12" s="8" t="s">
        <v>158</v>
      </c>
      <c r="C12" s="8" t="s">
        <v>166</v>
      </c>
      <c r="D12" s="8" t="s">
        <v>167</v>
      </c>
      <c r="E12" s="8" t="s">
        <v>168</v>
      </c>
      <c r="F12" s="8" t="s">
        <v>101</v>
      </c>
      <c r="G12" s="8" t="s">
        <v>101</v>
      </c>
      <c r="H12" s="8" t="s">
        <v>169</v>
      </c>
      <c r="I12" s="8" t="s">
        <v>170</v>
      </c>
      <c r="J12" s="8" t="s">
        <v>171</v>
      </c>
      <c r="K12" s="8" t="s">
        <v>105</v>
      </c>
      <c r="L12" s="8" t="s">
        <v>106</v>
      </c>
      <c r="M12" s="8" t="s">
        <v>172</v>
      </c>
      <c r="N12" s="8" t="s">
        <v>173</v>
      </c>
      <c r="O12" s="8" t="s">
        <v>121</v>
      </c>
      <c r="P12" s="8" t="s">
        <v>110</v>
      </c>
      <c r="Q12" s="9" t="s">
        <v>111</v>
      </c>
    </row>
    <row r="13" spans="1:17">
      <c r="A13" s="10" t="s">
        <v>174</v>
      </c>
      <c r="B13" s="11" t="s">
        <v>158</v>
      </c>
      <c r="C13" s="11" t="s">
        <v>175</v>
      </c>
      <c r="D13" s="11" t="s">
        <v>176</v>
      </c>
      <c r="E13" s="11" t="s">
        <v>177</v>
      </c>
      <c r="F13" s="11" t="s">
        <v>135</v>
      </c>
      <c r="G13" s="11" t="s">
        <v>101</v>
      </c>
      <c r="H13" s="11" t="s">
        <v>178</v>
      </c>
      <c r="I13" s="11" t="s">
        <v>179</v>
      </c>
      <c r="J13" s="11" t="s">
        <v>180</v>
      </c>
      <c r="K13" s="11" t="s">
        <v>105</v>
      </c>
      <c r="L13" s="11" t="s">
        <v>106</v>
      </c>
      <c r="M13" s="11" t="s">
        <v>181</v>
      </c>
      <c r="N13" s="11" t="s">
        <v>182</v>
      </c>
      <c r="O13" s="11" t="s">
        <v>109</v>
      </c>
      <c r="P13" s="11" t="s">
        <v>110</v>
      </c>
      <c r="Q13" s="12" t="s">
        <v>111</v>
      </c>
    </row>
    <row r="14" ht="28" spans="1:17">
      <c r="A14" s="7" t="s">
        <v>183</v>
      </c>
      <c r="B14" s="8" t="s">
        <v>184</v>
      </c>
      <c r="C14" s="8" t="s">
        <v>185</v>
      </c>
      <c r="D14" s="8" t="s">
        <v>186</v>
      </c>
      <c r="E14" s="8" t="s">
        <v>187</v>
      </c>
      <c r="F14" s="8" t="s">
        <v>100</v>
      </c>
      <c r="G14" s="8" t="s">
        <v>101</v>
      </c>
      <c r="H14" s="8" t="s">
        <v>188</v>
      </c>
      <c r="I14" s="8" t="s">
        <v>189</v>
      </c>
      <c r="J14" s="8" t="s">
        <v>190</v>
      </c>
      <c r="K14" s="8" t="s">
        <v>105</v>
      </c>
      <c r="L14" s="8" t="s">
        <v>106</v>
      </c>
      <c r="M14" s="8" t="s">
        <v>191</v>
      </c>
      <c r="N14" s="8" t="s">
        <v>192</v>
      </c>
      <c r="O14" s="8" t="s">
        <v>109</v>
      </c>
      <c r="P14" s="8" t="s">
        <v>110</v>
      </c>
      <c r="Q14" s="9" t="s">
        <v>111</v>
      </c>
    </row>
    <row r="15" spans="1:17">
      <c r="A15" s="10" t="s">
        <v>193</v>
      </c>
      <c r="B15" s="11" t="s">
        <v>184</v>
      </c>
      <c r="C15" s="11" t="s">
        <v>194</v>
      </c>
      <c r="D15" s="11" t="s">
        <v>195</v>
      </c>
      <c r="E15" s="11" t="s">
        <v>196</v>
      </c>
      <c r="F15" s="11" t="s">
        <v>197</v>
      </c>
      <c r="G15" s="11" t="s">
        <v>101</v>
      </c>
      <c r="H15" s="11" t="s">
        <v>198</v>
      </c>
      <c r="I15" s="11" t="s">
        <v>199</v>
      </c>
      <c r="J15" s="11" t="s">
        <v>200</v>
      </c>
      <c r="K15" s="11" t="s">
        <v>105</v>
      </c>
      <c r="L15" s="11" t="s">
        <v>106</v>
      </c>
      <c r="M15" s="11" t="s">
        <v>201</v>
      </c>
      <c r="N15" s="11" t="s">
        <v>202</v>
      </c>
      <c r="O15" s="11" t="s">
        <v>121</v>
      </c>
      <c r="P15" s="11" t="s">
        <v>203</v>
      </c>
      <c r="Q15" s="12" t="s">
        <v>111</v>
      </c>
    </row>
    <row r="16" ht="28" spans="1:17">
      <c r="A16" s="7" t="s">
        <v>204</v>
      </c>
      <c r="B16" s="8" t="s">
        <v>184</v>
      </c>
      <c r="C16" s="8" t="s">
        <v>205</v>
      </c>
      <c r="D16" s="8" t="s">
        <v>206</v>
      </c>
      <c r="E16" s="8" t="s">
        <v>207</v>
      </c>
      <c r="F16" s="8" t="s">
        <v>101</v>
      </c>
      <c r="G16" s="8" t="s">
        <v>100</v>
      </c>
      <c r="H16" s="8" t="s">
        <v>208</v>
      </c>
      <c r="I16" s="8" t="s">
        <v>209</v>
      </c>
      <c r="J16" s="8" t="s">
        <v>210</v>
      </c>
      <c r="K16" s="8" t="s">
        <v>105</v>
      </c>
      <c r="L16" s="8" t="s">
        <v>106</v>
      </c>
      <c r="M16" s="8" t="s">
        <v>211</v>
      </c>
      <c r="N16" s="8" t="s">
        <v>212</v>
      </c>
      <c r="O16" s="8" t="s">
        <v>109</v>
      </c>
      <c r="P16" s="8" t="s">
        <v>110</v>
      </c>
      <c r="Q16" s="9" t="s">
        <v>111</v>
      </c>
    </row>
    <row r="17" spans="1:17">
      <c r="A17" s="10" t="s">
        <v>213</v>
      </c>
      <c r="B17" s="11" t="s">
        <v>184</v>
      </c>
      <c r="C17" s="11" t="s">
        <v>214</v>
      </c>
      <c r="D17" s="11" t="s">
        <v>215</v>
      </c>
      <c r="E17" s="11" t="s">
        <v>216</v>
      </c>
      <c r="F17" s="11" t="s">
        <v>135</v>
      </c>
      <c r="G17" s="11" t="s">
        <v>135</v>
      </c>
      <c r="H17" s="11" t="s">
        <v>217</v>
      </c>
      <c r="I17" s="11" t="s">
        <v>218</v>
      </c>
      <c r="J17" s="11" t="s">
        <v>219</v>
      </c>
      <c r="K17" s="11" t="s">
        <v>105</v>
      </c>
      <c r="L17" s="11" t="s">
        <v>106</v>
      </c>
      <c r="M17" s="11" t="s">
        <v>220</v>
      </c>
      <c r="N17" s="11" t="s">
        <v>221</v>
      </c>
      <c r="O17" s="11" t="s">
        <v>121</v>
      </c>
      <c r="P17" s="11" t="s">
        <v>110</v>
      </c>
      <c r="Q17" s="12" t="s">
        <v>111</v>
      </c>
    </row>
    <row r="18" ht="28" spans="1:17">
      <c r="A18" s="7" t="s">
        <v>222</v>
      </c>
      <c r="B18" s="8" t="s">
        <v>223</v>
      </c>
      <c r="C18" s="8" t="s">
        <v>224</v>
      </c>
      <c r="D18" s="8" t="s">
        <v>225</v>
      </c>
      <c r="E18" s="8" t="s">
        <v>226</v>
      </c>
      <c r="F18" s="8" t="s">
        <v>100</v>
      </c>
      <c r="G18" s="8" t="s">
        <v>101</v>
      </c>
      <c r="H18" s="8" t="s">
        <v>227</v>
      </c>
      <c r="I18" s="8" t="s">
        <v>228</v>
      </c>
      <c r="J18" s="8" t="s">
        <v>229</v>
      </c>
      <c r="K18" s="8" t="s">
        <v>105</v>
      </c>
      <c r="L18" s="8" t="s">
        <v>106</v>
      </c>
      <c r="M18" s="8" t="s">
        <v>230</v>
      </c>
      <c r="N18" s="8" t="s">
        <v>231</v>
      </c>
      <c r="O18" s="8" t="s">
        <v>109</v>
      </c>
      <c r="P18" s="8" t="s">
        <v>110</v>
      </c>
      <c r="Q18" s="9" t="s">
        <v>111</v>
      </c>
    </row>
    <row r="19" spans="1:17">
      <c r="A19" s="10" t="s">
        <v>232</v>
      </c>
      <c r="B19" s="11" t="s">
        <v>233</v>
      </c>
      <c r="C19" s="11" t="s">
        <v>234</v>
      </c>
      <c r="D19" s="11" t="s">
        <v>235</v>
      </c>
      <c r="E19" s="11" t="s">
        <v>236</v>
      </c>
      <c r="F19" s="11" t="s">
        <v>101</v>
      </c>
      <c r="G19" s="11" t="s">
        <v>100</v>
      </c>
      <c r="H19" s="11" t="s">
        <v>237</v>
      </c>
      <c r="I19" s="11" t="s">
        <v>238</v>
      </c>
      <c r="J19" s="11" t="s">
        <v>239</v>
      </c>
      <c r="K19" s="11" t="s">
        <v>105</v>
      </c>
      <c r="L19" s="11" t="s">
        <v>106</v>
      </c>
      <c r="M19" s="11" t="s">
        <v>240</v>
      </c>
      <c r="N19" s="11" t="s">
        <v>241</v>
      </c>
      <c r="O19" s="11" t="s">
        <v>109</v>
      </c>
      <c r="P19" s="11" t="s">
        <v>110</v>
      </c>
      <c r="Q19" s="12" t="s">
        <v>111</v>
      </c>
    </row>
    <row r="20" spans="1:17">
      <c r="A20" s="7" t="s">
        <v>242</v>
      </c>
      <c r="B20" s="8" t="s">
        <v>233</v>
      </c>
      <c r="C20" s="8" t="s">
        <v>243</v>
      </c>
      <c r="D20" s="8" t="s">
        <v>244</v>
      </c>
      <c r="E20" s="8" t="s">
        <v>245</v>
      </c>
      <c r="F20" s="8" t="s">
        <v>100</v>
      </c>
      <c r="G20" s="8" t="s">
        <v>101</v>
      </c>
      <c r="H20" s="8" t="s">
        <v>246</v>
      </c>
      <c r="I20" s="8" t="s">
        <v>247</v>
      </c>
      <c r="J20" s="8" t="s">
        <v>248</v>
      </c>
      <c r="K20" s="8" t="s">
        <v>105</v>
      </c>
      <c r="L20" s="8" t="s">
        <v>106</v>
      </c>
      <c r="M20" s="8" t="s">
        <v>249</v>
      </c>
      <c r="N20" s="8" t="s">
        <v>250</v>
      </c>
      <c r="O20" s="8" t="s">
        <v>109</v>
      </c>
      <c r="P20" s="8" t="s">
        <v>110</v>
      </c>
      <c r="Q20" s="9" t="s">
        <v>111</v>
      </c>
    </row>
    <row r="21" spans="1:17">
      <c r="A21" s="10" t="s">
        <v>251</v>
      </c>
      <c r="B21" s="11" t="s">
        <v>233</v>
      </c>
      <c r="C21" s="11" t="s">
        <v>252</v>
      </c>
      <c r="D21" s="11" t="s">
        <v>253</v>
      </c>
      <c r="E21" s="11" t="s">
        <v>254</v>
      </c>
      <c r="F21" s="11" t="s">
        <v>135</v>
      </c>
      <c r="G21" s="11" t="s">
        <v>255</v>
      </c>
      <c r="H21" s="11" t="s">
        <v>256</v>
      </c>
      <c r="I21" s="11" t="s">
        <v>257</v>
      </c>
      <c r="J21" s="11" t="s">
        <v>258</v>
      </c>
      <c r="K21" s="11" t="s">
        <v>105</v>
      </c>
      <c r="L21" s="11" t="s">
        <v>106</v>
      </c>
      <c r="M21" s="11" t="s">
        <v>249</v>
      </c>
      <c r="N21" s="11" t="s">
        <v>250</v>
      </c>
      <c r="O21" s="11" t="s">
        <v>109</v>
      </c>
      <c r="P21" s="11" t="s">
        <v>110</v>
      </c>
      <c r="Q21" s="12" t="s">
        <v>111</v>
      </c>
    </row>
    <row r="22" spans="1:17">
      <c r="A22" s="7" t="s">
        <v>259</v>
      </c>
      <c r="B22" s="8" t="s">
        <v>260</v>
      </c>
      <c r="C22" s="8" t="s">
        <v>261</v>
      </c>
      <c r="D22" s="8" t="s">
        <v>262</v>
      </c>
      <c r="E22" s="8" t="s">
        <v>263</v>
      </c>
      <c r="F22" s="8" t="s">
        <v>135</v>
      </c>
      <c r="G22" s="8" t="s">
        <v>101</v>
      </c>
      <c r="H22" s="8" t="s">
        <v>264</v>
      </c>
      <c r="I22" s="8" t="s">
        <v>265</v>
      </c>
      <c r="J22" s="8" t="s">
        <v>266</v>
      </c>
      <c r="K22" s="8" t="s">
        <v>105</v>
      </c>
      <c r="L22" s="8" t="s">
        <v>106</v>
      </c>
      <c r="M22" s="8" t="s">
        <v>267</v>
      </c>
      <c r="N22" s="8" t="s">
        <v>268</v>
      </c>
      <c r="O22" s="8" t="s">
        <v>109</v>
      </c>
      <c r="P22" s="8" t="s">
        <v>110</v>
      </c>
      <c r="Q22" s="9" t="s">
        <v>111</v>
      </c>
    </row>
    <row r="23" spans="1:17">
      <c r="A23" s="10" t="s">
        <v>269</v>
      </c>
      <c r="B23" s="11" t="s">
        <v>96</v>
      </c>
      <c r="C23" s="11" t="s">
        <v>270</v>
      </c>
      <c r="D23" s="11" t="s">
        <v>271</v>
      </c>
      <c r="E23" s="11" t="s">
        <v>272</v>
      </c>
      <c r="F23" s="11" t="s">
        <v>100</v>
      </c>
      <c r="G23" s="11" t="s">
        <v>101</v>
      </c>
      <c r="H23" s="11" t="s">
        <v>273</v>
      </c>
      <c r="I23" s="11" t="s">
        <v>274</v>
      </c>
      <c r="J23" s="11" t="s">
        <v>275</v>
      </c>
      <c r="K23" s="11" t="s">
        <v>276</v>
      </c>
      <c r="L23" s="11" t="s">
        <v>106</v>
      </c>
      <c r="M23" s="11" t="s">
        <v>277</v>
      </c>
      <c r="N23" s="11" t="s">
        <v>278</v>
      </c>
      <c r="O23" s="11" t="s">
        <v>109</v>
      </c>
      <c r="P23" s="11" t="s">
        <v>110</v>
      </c>
      <c r="Q23" s="12" t="s">
        <v>111</v>
      </c>
    </row>
    <row r="24" ht="28" spans="1:17">
      <c r="A24" s="7" t="s">
        <v>279</v>
      </c>
      <c r="B24" s="8" t="s">
        <v>96</v>
      </c>
      <c r="C24" s="8" t="s">
        <v>280</v>
      </c>
      <c r="D24" s="8" t="s">
        <v>281</v>
      </c>
      <c r="E24" s="8" t="s">
        <v>282</v>
      </c>
      <c r="F24" s="8" t="s">
        <v>135</v>
      </c>
      <c r="G24" s="8" t="s">
        <v>101</v>
      </c>
      <c r="H24" s="8" t="s">
        <v>283</v>
      </c>
      <c r="I24" s="8" t="s">
        <v>284</v>
      </c>
      <c r="J24" s="8" t="s">
        <v>285</v>
      </c>
      <c r="K24" s="8" t="s">
        <v>276</v>
      </c>
      <c r="L24" s="8" t="s">
        <v>106</v>
      </c>
      <c r="M24" s="8" t="s">
        <v>286</v>
      </c>
      <c r="N24" s="8" t="s">
        <v>287</v>
      </c>
      <c r="O24" s="8" t="s">
        <v>109</v>
      </c>
      <c r="P24" s="8" t="s">
        <v>110</v>
      </c>
      <c r="Q24" s="9" t="s">
        <v>111</v>
      </c>
    </row>
    <row r="25" spans="1:17">
      <c r="A25" s="10" t="s">
        <v>288</v>
      </c>
      <c r="B25" s="11" t="s">
        <v>96</v>
      </c>
      <c r="C25" s="11" t="s">
        <v>289</v>
      </c>
      <c r="D25" s="11" t="s">
        <v>290</v>
      </c>
      <c r="E25" s="11" t="s">
        <v>291</v>
      </c>
      <c r="F25" s="11" t="s">
        <v>135</v>
      </c>
      <c r="G25" s="11" t="s">
        <v>101</v>
      </c>
      <c r="H25" s="11" t="s">
        <v>292</v>
      </c>
      <c r="I25" s="11" t="s">
        <v>293</v>
      </c>
      <c r="J25" s="11" t="s">
        <v>294</v>
      </c>
      <c r="K25" s="11" t="s">
        <v>276</v>
      </c>
      <c r="L25" s="11" t="s">
        <v>106</v>
      </c>
      <c r="M25" s="11" t="s">
        <v>295</v>
      </c>
      <c r="N25" s="11" t="s">
        <v>296</v>
      </c>
      <c r="O25" s="11" t="s">
        <v>109</v>
      </c>
      <c r="P25" s="11" t="s">
        <v>110</v>
      </c>
      <c r="Q25" s="12" t="s">
        <v>111</v>
      </c>
    </row>
    <row r="26" spans="1:17">
      <c r="A26" s="7" t="s">
        <v>297</v>
      </c>
      <c r="B26" s="8" t="s">
        <v>158</v>
      </c>
      <c r="C26" s="8" t="s">
        <v>298</v>
      </c>
      <c r="D26" s="8" t="s">
        <v>299</v>
      </c>
      <c r="E26" s="8" t="s">
        <v>300</v>
      </c>
      <c r="F26" s="8" t="s">
        <v>135</v>
      </c>
      <c r="G26" s="8" t="s">
        <v>101</v>
      </c>
      <c r="H26" s="8" t="s">
        <v>301</v>
      </c>
      <c r="I26" s="8" t="s">
        <v>302</v>
      </c>
      <c r="J26" s="8" t="s">
        <v>303</v>
      </c>
      <c r="K26" s="8" t="s">
        <v>276</v>
      </c>
      <c r="L26" s="8" t="s">
        <v>106</v>
      </c>
      <c r="M26" s="8" t="s">
        <v>304</v>
      </c>
      <c r="N26" s="8" t="s">
        <v>305</v>
      </c>
      <c r="O26" s="8" t="s">
        <v>109</v>
      </c>
      <c r="P26" s="8" t="s">
        <v>110</v>
      </c>
      <c r="Q26" s="9" t="s">
        <v>111</v>
      </c>
    </row>
    <row r="27" ht="28" spans="1:17">
      <c r="A27" s="10" t="s">
        <v>306</v>
      </c>
      <c r="B27" s="11" t="s">
        <v>158</v>
      </c>
      <c r="C27" s="11" t="s">
        <v>307</v>
      </c>
      <c r="D27" s="11" t="s">
        <v>308</v>
      </c>
      <c r="E27" s="11" t="s">
        <v>309</v>
      </c>
      <c r="F27" s="11" t="s">
        <v>310</v>
      </c>
      <c r="G27" s="11" t="s">
        <v>101</v>
      </c>
      <c r="H27" s="11" t="s">
        <v>311</v>
      </c>
      <c r="I27" s="11" t="s">
        <v>312</v>
      </c>
      <c r="J27" s="11" t="s">
        <v>313</v>
      </c>
      <c r="K27" s="11" t="s">
        <v>276</v>
      </c>
      <c r="L27" s="11" t="s">
        <v>106</v>
      </c>
      <c r="M27" s="11" t="s">
        <v>314</v>
      </c>
      <c r="N27" s="11" t="s">
        <v>315</v>
      </c>
      <c r="O27" s="11" t="s">
        <v>109</v>
      </c>
      <c r="P27" s="11" t="s">
        <v>110</v>
      </c>
      <c r="Q27" s="12" t="s">
        <v>111</v>
      </c>
    </row>
    <row r="28" spans="1:17">
      <c r="A28" s="7" t="s">
        <v>316</v>
      </c>
      <c r="B28" s="8" t="s">
        <v>158</v>
      </c>
      <c r="C28" s="8" t="s">
        <v>317</v>
      </c>
      <c r="D28" s="8" t="s">
        <v>318</v>
      </c>
      <c r="E28" s="8" t="s">
        <v>319</v>
      </c>
      <c r="F28" s="8" t="s">
        <v>100</v>
      </c>
      <c r="G28" s="8" t="s">
        <v>135</v>
      </c>
      <c r="H28" s="8" t="s">
        <v>320</v>
      </c>
      <c r="I28" s="8" t="s">
        <v>321</v>
      </c>
      <c r="J28" s="8" t="s">
        <v>322</v>
      </c>
      <c r="K28" s="8" t="s">
        <v>276</v>
      </c>
      <c r="L28" s="8" t="s">
        <v>106</v>
      </c>
      <c r="M28" s="8" t="s">
        <v>323</v>
      </c>
      <c r="N28" s="8" t="s">
        <v>324</v>
      </c>
      <c r="O28" s="8" t="s">
        <v>109</v>
      </c>
      <c r="P28" s="8" t="s">
        <v>110</v>
      </c>
      <c r="Q28" s="9" t="s">
        <v>111</v>
      </c>
    </row>
    <row r="29" ht="28" spans="1:17">
      <c r="A29" s="10" t="s">
        <v>325</v>
      </c>
      <c r="B29" s="11" t="s">
        <v>223</v>
      </c>
      <c r="C29" s="11" t="s">
        <v>326</v>
      </c>
      <c r="D29" s="11" t="s">
        <v>327</v>
      </c>
      <c r="E29" s="11" t="s">
        <v>328</v>
      </c>
      <c r="F29" s="11" t="s">
        <v>100</v>
      </c>
      <c r="G29" s="11" t="s">
        <v>135</v>
      </c>
      <c r="H29" s="11" t="s">
        <v>329</v>
      </c>
      <c r="I29" s="11" t="s">
        <v>330</v>
      </c>
      <c r="J29" s="11" t="s">
        <v>331</v>
      </c>
      <c r="K29" s="11" t="s">
        <v>276</v>
      </c>
      <c r="L29" s="11" t="s">
        <v>106</v>
      </c>
      <c r="M29" s="11" t="s">
        <v>332</v>
      </c>
      <c r="N29" s="11" t="s">
        <v>333</v>
      </c>
      <c r="O29" s="11" t="s">
        <v>109</v>
      </c>
      <c r="P29" s="11" t="s">
        <v>110</v>
      </c>
      <c r="Q29" s="12" t="s">
        <v>111</v>
      </c>
    </row>
    <row r="30" spans="1:17">
      <c r="A30" s="7" t="s">
        <v>334</v>
      </c>
      <c r="B30" s="8" t="s">
        <v>260</v>
      </c>
      <c r="C30" s="8" t="s">
        <v>335</v>
      </c>
      <c r="D30" s="8" t="s">
        <v>336</v>
      </c>
      <c r="E30" s="8" t="s">
        <v>337</v>
      </c>
      <c r="F30" s="8" t="s">
        <v>100</v>
      </c>
      <c r="G30" s="8" t="s">
        <v>101</v>
      </c>
      <c r="H30" s="8" t="s">
        <v>338</v>
      </c>
      <c r="I30" s="8" t="s">
        <v>339</v>
      </c>
      <c r="J30" s="8" t="s">
        <v>340</v>
      </c>
      <c r="K30" s="8" t="s">
        <v>276</v>
      </c>
      <c r="L30" s="8" t="s">
        <v>106</v>
      </c>
      <c r="M30" s="8" t="s">
        <v>341</v>
      </c>
      <c r="N30" s="8" t="s">
        <v>342</v>
      </c>
      <c r="O30" s="8" t="s">
        <v>109</v>
      </c>
      <c r="P30" s="8" t="s">
        <v>110</v>
      </c>
      <c r="Q30" s="9" t="s">
        <v>111</v>
      </c>
    </row>
    <row r="31" spans="1:17">
      <c r="A31" s="10" t="s">
        <v>343</v>
      </c>
      <c r="B31" s="11" t="s">
        <v>260</v>
      </c>
      <c r="C31" s="11" t="s">
        <v>344</v>
      </c>
      <c r="D31" s="11" t="s">
        <v>345</v>
      </c>
      <c r="E31" s="11" t="s">
        <v>346</v>
      </c>
      <c r="F31" s="11" t="s">
        <v>135</v>
      </c>
      <c r="G31" s="11" t="s">
        <v>100</v>
      </c>
      <c r="H31" s="11" t="s">
        <v>347</v>
      </c>
      <c r="I31" s="11" t="s">
        <v>348</v>
      </c>
      <c r="J31" s="11" t="s">
        <v>349</v>
      </c>
      <c r="K31" s="11" t="s">
        <v>276</v>
      </c>
      <c r="L31" s="11" t="s">
        <v>106</v>
      </c>
      <c r="M31" s="11" t="s">
        <v>350</v>
      </c>
      <c r="N31" s="11" t="s">
        <v>346</v>
      </c>
      <c r="O31" s="11" t="s">
        <v>121</v>
      </c>
      <c r="P31" s="11" t="s">
        <v>110</v>
      </c>
      <c r="Q31" s="12" t="s">
        <v>111</v>
      </c>
    </row>
    <row r="32" ht="28" spans="1:17">
      <c r="A32" s="16" t="s">
        <v>351</v>
      </c>
      <c r="B32" s="17" t="s">
        <v>260</v>
      </c>
      <c r="C32" s="17" t="s">
        <v>352</v>
      </c>
      <c r="D32" s="17" t="s">
        <v>353</v>
      </c>
      <c r="E32" s="17" t="s">
        <v>354</v>
      </c>
      <c r="F32" s="17" t="s">
        <v>310</v>
      </c>
      <c r="G32" s="17" t="s">
        <v>135</v>
      </c>
      <c r="H32" s="17" t="s">
        <v>355</v>
      </c>
      <c r="I32" s="17" t="s">
        <v>356</v>
      </c>
      <c r="J32" s="17" t="s">
        <v>357</v>
      </c>
      <c r="K32" s="17" t="s">
        <v>276</v>
      </c>
      <c r="L32" s="17" t="s">
        <v>106</v>
      </c>
      <c r="M32" s="17" t="s">
        <v>358</v>
      </c>
      <c r="N32" s="17" t="s">
        <v>359</v>
      </c>
      <c r="O32" s="17" t="s">
        <v>109</v>
      </c>
      <c r="P32" s="17" t="s">
        <v>110</v>
      </c>
      <c r="Q32" s="18" t="s">
        <v>111</v>
      </c>
    </row>
  </sheetData>
  <mergeCells count="2">
    <mergeCell ref="A1:Q1"/>
    <mergeCell ref="A2:Q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9"/>
  <sheetViews>
    <sheetView showGridLines="0" topLeftCell="A4" workbookViewId="0">
      <selection activeCell="A1" sqref="A1:T1"/>
    </sheetView>
  </sheetViews>
  <sheetFormatPr defaultColWidth="9" defaultRowHeight="16.8"/>
  <cols>
    <col min="1" max="1" width="10" customWidth="1"/>
    <col min="2" max="2" width="11" customWidth="1"/>
    <col min="3" max="3" width="27" customWidth="1"/>
    <col min="4" max="4" width="20" customWidth="1"/>
    <col min="5" max="5" width="24" customWidth="1"/>
    <col min="6" max="6" width="28" customWidth="1"/>
    <col min="7" max="7" width="22" customWidth="1"/>
    <col min="8" max="8" width="24" customWidth="1"/>
    <col min="9" max="9" width="20" customWidth="1"/>
    <col min="10" max="10" width="40" customWidth="1"/>
    <col min="11" max="11" width="14" customWidth="1"/>
    <col min="12" max="12" width="34" customWidth="1"/>
    <col min="13" max="13" width="11" customWidth="1"/>
    <col min="14" max="14" width="15" customWidth="1"/>
    <col min="15" max="15" width="12" customWidth="1"/>
    <col min="16" max="16" width="25" customWidth="1"/>
    <col min="17" max="17" width="42" customWidth="1"/>
    <col min="18" max="18" width="16" customWidth="1"/>
    <col min="19" max="19" width="10" customWidth="1"/>
    <col min="20" max="20" width="12" customWidth="1"/>
  </cols>
  <sheetData>
    <row r="1" ht="32" customHeight="1" spans="1:20">
      <c r="A1" s="1" t="s">
        <v>360</v>
      </c>
      <c r="B1" s="1"/>
      <c r="C1" s="1"/>
      <c r="D1" s="1"/>
      <c r="E1" s="1"/>
      <c r="F1" s="1"/>
      <c r="G1" s="1"/>
      <c r="H1" s="1"/>
      <c r="I1" s="1"/>
      <c r="J1" s="1"/>
      <c r="K1" s="1"/>
      <c r="L1" s="1"/>
      <c r="M1" s="1"/>
      <c r="N1" s="1"/>
      <c r="O1" s="1"/>
      <c r="P1" s="1"/>
      <c r="Q1" s="1"/>
      <c r="R1" s="1"/>
      <c r="S1" s="1"/>
      <c r="T1" s="1"/>
    </row>
    <row r="2" ht="34" customHeight="1" spans="1:20">
      <c r="A2" s="2" t="s">
        <v>361</v>
      </c>
      <c r="B2" s="2"/>
      <c r="C2" s="2"/>
      <c r="D2" s="2"/>
      <c r="E2" s="2"/>
      <c r="F2" s="2"/>
      <c r="G2" s="2"/>
      <c r="H2" s="2"/>
      <c r="I2" s="2"/>
      <c r="J2" s="2"/>
      <c r="K2" s="2"/>
      <c r="L2" s="2"/>
      <c r="M2" s="2"/>
      <c r="N2" s="2"/>
      <c r="O2" s="2"/>
      <c r="P2" s="2"/>
      <c r="Q2" s="2"/>
      <c r="R2" s="2"/>
      <c r="S2" s="2"/>
      <c r="T2" s="2"/>
    </row>
    <row r="4" ht="32" customHeight="1" spans="1:20">
      <c r="A4" s="3" t="s">
        <v>78</v>
      </c>
      <c r="B4" s="3" t="s">
        <v>362</v>
      </c>
      <c r="C4" s="3" t="s">
        <v>363</v>
      </c>
      <c r="D4" s="3" t="s">
        <v>31</v>
      </c>
      <c r="E4" s="3" t="s">
        <v>364</v>
      </c>
      <c r="F4" s="3" t="s">
        <v>365</v>
      </c>
      <c r="G4" s="3" t="s">
        <v>366</v>
      </c>
      <c r="H4" s="3" t="s">
        <v>367</v>
      </c>
      <c r="I4" s="3" t="s">
        <v>368</v>
      </c>
      <c r="J4" s="3" t="s">
        <v>369</v>
      </c>
      <c r="K4" s="3" t="s">
        <v>370</v>
      </c>
      <c r="L4" s="3" t="s">
        <v>371</v>
      </c>
      <c r="M4" s="3" t="s">
        <v>88</v>
      </c>
      <c r="N4" s="3" t="s">
        <v>89</v>
      </c>
      <c r="O4" s="3" t="s">
        <v>90</v>
      </c>
      <c r="P4" s="3" t="s">
        <v>91</v>
      </c>
      <c r="Q4" s="3" t="s">
        <v>372</v>
      </c>
      <c r="R4" s="3" t="s">
        <v>92</v>
      </c>
      <c r="S4" s="3" t="s">
        <v>93</v>
      </c>
      <c r="T4" s="3" t="s">
        <v>94</v>
      </c>
    </row>
    <row r="5" spans="1:20">
      <c r="A5" s="4" t="s">
        <v>373</v>
      </c>
      <c r="B5" s="5" t="s">
        <v>374</v>
      </c>
      <c r="C5" s="5" t="s">
        <v>375</v>
      </c>
      <c r="D5" s="5" t="s">
        <v>376</v>
      </c>
      <c r="E5" s="5" t="s">
        <v>377</v>
      </c>
      <c r="F5" s="5" t="s">
        <v>378</v>
      </c>
      <c r="G5" s="5" t="s">
        <v>379</v>
      </c>
      <c r="H5" s="5" t="s">
        <v>380</v>
      </c>
      <c r="I5" s="5" t="s">
        <v>381</v>
      </c>
      <c r="J5" s="5" t="s">
        <v>382</v>
      </c>
      <c r="K5" s="5" t="s">
        <v>383</v>
      </c>
      <c r="L5" s="5" t="s">
        <v>384</v>
      </c>
      <c r="M5" s="5" t="s">
        <v>105</v>
      </c>
      <c r="N5" s="5" t="s">
        <v>385</v>
      </c>
      <c r="O5" s="5" t="s">
        <v>386</v>
      </c>
      <c r="P5" s="5" t="s">
        <v>376</v>
      </c>
      <c r="Q5" s="5" t="s">
        <v>387</v>
      </c>
      <c r="R5" s="5" t="s">
        <v>121</v>
      </c>
      <c r="S5" s="5" t="s">
        <v>203</v>
      </c>
      <c r="T5" s="6" t="s">
        <v>111</v>
      </c>
    </row>
    <row r="6" spans="1:20">
      <c r="A6" s="7" t="s">
        <v>388</v>
      </c>
      <c r="B6" s="8" t="s">
        <v>374</v>
      </c>
      <c r="C6" s="8" t="s">
        <v>389</v>
      </c>
      <c r="D6" s="8" t="s">
        <v>390</v>
      </c>
      <c r="E6" s="8" t="s">
        <v>391</v>
      </c>
      <c r="F6" s="8" t="s">
        <v>392</v>
      </c>
      <c r="G6" s="8" t="s">
        <v>393</v>
      </c>
      <c r="H6" s="8" t="s">
        <v>394</v>
      </c>
      <c r="I6" s="8" t="s">
        <v>395</v>
      </c>
      <c r="J6" s="8" t="s">
        <v>396</v>
      </c>
      <c r="K6" s="8" t="s">
        <v>383</v>
      </c>
      <c r="L6" s="8" t="s">
        <v>397</v>
      </c>
      <c r="M6" s="8" t="s">
        <v>105</v>
      </c>
      <c r="N6" s="8" t="s">
        <v>385</v>
      </c>
      <c r="O6" s="8" t="s">
        <v>398</v>
      </c>
      <c r="P6" s="8" t="s">
        <v>390</v>
      </c>
      <c r="Q6" s="8" t="s">
        <v>399</v>
      </c>
      <c r="R6" s="8" t="s">
        <v>121</v>
      </c>
      <c r="S6" s="8" t="s">
        <v>203</v>
      </c>
      <c r="T6" s="9" t="s">
        <v>111</v>
      </c>
    </row>
    <row r="7" spans="1:20">
      <c r="A7" s="10" t="s">
        <v>400</v>
      </c>
      <c r="B7" s="11" t="s">
        <v>374</v>
      </c>
      <c r="C7" s="11" t="s">
        <v>401</v>
      </c>
      <c r="D7" s="11" t="s">
        <v>402</v>
      </c>
      <c r="E7" s="11" t="s">
        <v>403</v>
      </c>
      <c r="F7" s="11" t="s">
        <v>404</v>
      </c>
      <c r="G7" s="11" t="s">
        <v>405</v>
      </c>
      <c r="H7" s="11" t="s">
        <v>406</v>
      </c>
      <c r="I7" s="11" t="s">
        <v>395</v>
      </c>
      <c r="J7" s="11" t="s">
        <v>407</v>
      </c>
      <c r="K7" s="11" t="s">
        <v>383</v>
      </c>
      <c r="L7" s="11" t="s">
        <v>408</v>
      </c>
      <c r="M7" s="11" t="s">
        <v>105</v>
      </c>
      <c r="N7" s="11" t="s">
        <v>385</v>
      </c>
      <c r="O7" s="11" t="s">
        <v>409</v>
      </c>
      <c r="P7" s="11" t="s">
        <v>402</v>
      </c>
      <c r="Q7" s="11" t="s">
        <v>410</v>
      </c>
      <c r="R7" s="11" t="s">
        <v>121</v>
      </c>
      <c r="S7" s="11" t="s">
        <v>110</v>
      </c>
      <c r="T7" s="12" t="s">
        <v>111</v>
      </c>
    </row>
    <row r="8" ht="28" spans="1:20">
      <c r="A8" s="7" t="s">
        <v>411</v>
      </c>
      <c r="B8" s="8" t="s">
        <v>374</v>
      </c>
      <c r="C8" s="8" t="s">
        <v>412</v>
      </c>
      <c r="D8" s="8" t="s">
        <v>413</v>
      </c>
      <c r="E8" s="8" t="s">
        <v>414</v>
      </c>
      <c r="F8" s="8" t="s">
        <v>415</v>
      </c>
      <c r="G8" s="8" t="s">
        <v>416</v>
      </c>
      <c r="H8" s="8" t="s">
        <v>417</v>
      </c>
      <c r="I8" s="8" t="s">
        <v>395</v>
      </c>
      <c r="J8" s="8" t="s">
        <v>418</v>
      </c>
      <c r="K8" s="8" t="s">
        <v>419</v>
      </c>
      <c r="L8" s="8" t="s">
        <v>420</v>
      </c>
      <c r="M8" s="8" t="s">
        <v>105</v>
      </c>
      <c r="N8" s="8" t="s">
        <v>385</v>
      </c>
      <c r="O8" s="8" t="s">
        <v>421</v>
      </c>
      <c r="P8" s="8" t="s">
        <v>413</v>
      </c>
      <c r="Q8" s="8" t="s">
        <v>422</v>
      </c>
      <c r="R8" s="8" t="s">
        <v>109</v>
      </c>
      <c r="S8" s="8" t="s">
        <v>110</v>
      </c>
      <c r="T8" s="9" t="s">
        <v>111</v>
      </c>
    </row>
    <row r="9" ht="28" spans="1:20">
      <c r="A9" s="10" t="s">
        <v>423</v>
      </c>
      <c r="B9" s="11" t="s">
        <v>374</v>
      </c>
      <c r="C9" s="11" t="s">
        <v>185</v>
      </c>
      <c r="D9" s="11" t="s">
        <v>424</v>
      </c>
      <c r="E9" s="11" t="s">
        <v>425</v>
      </c>
      <c r="F9" s="11" t="s">
        <v>426</v>
      </c>
      <c r="G9" s="11" t="s">
        <v>427</v>
      </c>
      <c r="H9" s="11" t="s">
        <v>428</v>
      </c>
      <c r="I9" s="11" t="s">
        <v>395</v>
      </c>
      <c r="J9" s="11" t="s">
        <v>429</v>
      </c>
      <c r="K9" s="11" t="s">
        <v>430</v>
      </c>
      <c r="L9" s="11" t="s">
        <v>431</v>
      </c>
      <c r="M9" s="11" t="s">
        <v>105</v>
      </c>
      <c r="N9" s="11" t="s">
        <v>385</v>
      </c>
      <c r="O9" s="11" t="s">
        <v>432</v>
      </c>
      <c r="P9" s="11" t="s">
        <v>433</v>
      </c>
      <c r="Q9" s="11" t="s">
        <v>434</v>
      </c>
      <c r="R9" s="11" t="s">
        <v>121</v>
      </c>
      <c r="S9" s="11" t="s">
        <v>203</v>
      </c>
      <c r="T9" s="12" t="s">
        <v>111</v>
      </c>
    </row>
    <row r="10" ht="28" spans="1:20">
      <c r="A10" s="7" t="s">
        <v>435</v>
      </c>
      <c r="B10" s="8" t="s">
        <v>374</v>
      </c>
      <c r="C10" s="8" t="s">
        <v>436</v>
      </c>
      <c r="D10" s="8" t="s">
        <v>437</v>
      </c>
      <c r="E10" s="8" t="s">
        <v>438</v>
      </c>
      <c r="F10" s="8" t="s">
        <v>439</v>
      </c>
      <c r="G10" s="8" t="s">
        <v>440</v>
      </c>
      <c r="H10" s="8" t="s">
        <v>441</v>
      </c>
      <c r="I10" s="8" t="s">
        <v>442</v>
      </c>
      <c r="J10" s="8" t="s">
        <v>443</v>
      </c>
      <c r="K10" s="8" t="s">
        <v>444</v>
      </c>
      <c r="L10" s="8" t="s">
        <v>445</v>
      </c>
      <c r="M10" s="8" t="s">
        <v>105</v>
      </c>
      <c r="N10" s="8" t="s">
        <v>385</v>
      </c>
      <c r="O10" s="8" t="s">
        <v>446</v>
      </c>
      <c r="P10" s="8" t="s">
        <v>447</v>
      </c>
      <c r="Q10" s="8" t="s">
        <v>448</v>
      </c>
      <c r="R10" s="8" t="s">
        <v>109</v>
      </c>
      <c r="S10" s="8" t="s">
        <v>203</v>
      </c>
      <c r="T10" s="9" t="s">
        <v>111</v>
      </c>
    </row>
    <row r="11" spans="1:20">
      <c r="A11" s="10" t="s">
        <v>449</v>
      </c>
      <c r="B11" s="11" t="s">
        <v>450</v>
      </c>
      <c r="C11" s="11" t="s">
        <v>451</v>
      </c>
      <c r="D11" s="11" t="s">
        <v>452</v>
      </c>
      <c r="E11" s="11" t="s">
        <v>453</v>
      </c>
      <c r="F11" s="11" t="s">
        <v>454</v>
      </c>
      <c r="G11" s="11" t="s">
        <v>455</v>
      </c>
      <c r="H11" s="11" t="s">
        <v>406</v>
      </c>
      <c r="I11" s="11" t="s">
        <v>442</v>
      </c>
      <c r="J11" s="11" t="s">
        <v>456</v>
      </c>
      <c r="K11" s="11" t="s">
        <v>457</v>
      </c>
      <c r="L11" s="11" t="s">
        <v>458</v>
      </c>
      <c r="M11" s="11" t="s">
        <v>105</v>
      </c>
      <c r="N11" s="11" t="s">
        <v>385</v>
      </c>
      <c r="O11" s="11" t="s">
        <v>459</v>
      </c>
      <c r="P11" s="11" t="s">
        <v>452</v>
      </c>
      <c r="Q11" s="11" t="s">
        <v>460</v>
      </c>
      <c r="R11" s="11" t="s">
        <v>121</v>
      </c>
      <c r="S11" s="11" t="s">
        <v>203</v>
      </c>
      <c r="T11" s="12" t="s">
        <v>111</v>
      </c>
    </row>
    <row r="12" spans="1:20">
      <c r="A12" s="7" t="s">
        <v>461</v>
      </c>
      <c r="B12" s="8" t="s">
        <v>450</v>
      </c>
      <c r="C12" s="8" t="s">
        <v>462</v>
      </c>
      <c r="D12" s="8" t="s">
        <v>463</v>
      </c>
      <c r="E12" s="8" t="s">
        <v>464</v>
      </c>
      <c r="F12" s="8" t="s">
        <v>465</v>
      </c>
      <c r="G12" s="8" t="s">
        <v>466</v>
      </c>
      <c r="H12" s="8" t="s">
        <v>467</v>
      </c>
      <c r="I12" s="8" t="s">
        <v>442</v>
      </c>
      <c r="J12" s="8" t="s">
        <v>468</v>
      </c>
      <c r="K12" s="8" t="s">
        <v>469</v>
      </c>
      <c r="L12" s="8" t="s">
        <v>470</v>
      </c>
      <c r="M12" s="8" t="s">
        <v>105</v>
      </c>
      <c r="N12" s="8" t="s">
        <v>385</v>
      </c>
      <c r="O12" s="8" t="s">
        <v>471</v>
      </c>
      <c r="P12" s="8" t="s">
        <v>463</v>
      </c>
      <c r="Q12" s="8" t="s">
        <v>472</v>
      </c>
      <c r="R12" s="8" t="s">
        <v>121</v>
      </c>
      <c r="S12" s="8" t="s">
        <v>203</v>
      </c>
      <c r="T12" s="9" t="s">
        <v>111</v>
      </c>
    </row>
    <row r="13" spans="1:20">
      <c r="A13" s="10" t="s">
        <v>473</v>
      </c>
      <c r="B13" s="11" t="s">
        <v>450</v>
      </c>
      <c r="C13" s="11" t="s">
        <v>474</v>
      </c>
      <c r="D13" s="11" t="s">
        <v>475</v>
      </c>
      <c r="E13" s="11" t="s">
        <v>476</v>
      </c>
      <c r="F13" s="11" t="s">
        <v>477</v>
      </c>
      <c r="G13" s="11" t="s">
        <v>427</v>
      </c>
      <c r="H13" s="11" t="s">
        <v>478</v>
      </c>
      <c r="I13" s="11" t="s">
        <v>395</v>
      </c>
      <c r="J13" s="11" t="s">
        <v>479</v>
      </c>
      <c r="K13" s="11" t="s">
        <v>480</v>
      </c>
      <c r="L13" s="11" t="s">
        <v>481</v>
      </c>
      <c r="M13" s="11" t="s">
        <v>105</v>
      </c>
      <c r="N13" s="11" t="s">
        <v>385</v>
      </c>
      <c r="O13" s="11" t="s">
        <v>482</v>
      </c>
      <c r="P13" s="11" t="s">
        <v>475</v>
      </c>
      <c r="Q13" s="11" t="s">
        <v>483</v>
      </c>
      <c r="R13" s="11" t="s">
        <v>121</v>
      </c>
      <c r="S13" s="11" t="s">
        <v>203</v>
      </c>
      <c r="T13" s="12" t="s">
        <v>111</v>
      </c>
    </row>
    <row r="14" spans="1:20">
      <c r="A14" s="7" t="s">
        <v>484</v>
      </c>
      <c r="B14" s="8" t="s">
        <v>450</v>
      </c>
      <c r="C14" s="8" t="s">
        <v>485</v>
      </c>
      <c r="D14" s="8" t="s">
        <v>486</v>
      </c>
      <c r="E14" s="8" t="s">
        <v>487</v>
      </c>
      <c r="F14" s="8" t="s">
        <v>488</v>
      </c>
      <c r="G14" s="8" t="s">
        <v>427</v>
      </c>
      <c r="H14" s="8" t="s">
        <v>489</v>
      </c>
      <c r="I14" s="8" t="s">
        <v>395</v>
      </c>
      <c r="J14" s="8" t="s">
        <v>490</v>
      </c>
      <c r="K14" s="8" t="s">
        <v>480</v>
      </c>
      <c r="L14" s="8" t="s">
        <v>491</v>
      </c>
      <c r="M14" s="8" t="s">
        <v>105</v>
      </c>
      <c r="N14" s="8" t="s">
        <v>385</v>
      </c>
      <c r="O14" s="8" t="s">
        <v>492</v>
      </c>
      <c r="P14" s="8" t="s">
        <v>486</v>
      </c>
      <c r="Q14" s="8" t="s">
        <v>493</v>
      </c>
      <c r="R14" s="8" t="s">
        <v>121</v>
      </c>
      <c r="S14" s="8" t="s">
        <v>203</v>
      </c>
      <c r="T14" s="9" t="s">
        <v>111</v>
      </c>
    </row>
    <row r="15" ht="28" spans="1:20">
      <c r="A15" s="10" t="s">
        <v>494</v>
      </c>
      <c r="B15" s="11" t="s">
        <v>450</v>
      </c>
      <c r="C15" s="11" t="s">
        <v>495</v>
      </c>
      <c r="D15" s="11" t="s">
        <v>496</v>
      </c>
      <c r="E15" s="11" t="s">
        <v>497</v>
      </c>
      <c r="F15" s="11" t="s">
        <v>498</v>
      </c>
      <c r="G15" s="11" t="s">
        <v>499</v>
      </c>
      <c r="H15" s="11" t="s">
        <v>500</v>
      </c>
      <c r="I15" s="11" t="s">
        <v>442</v>
      </c>
      <c r="J15" s="11" t="s">
        <v>501</v>
      </c>
      <c r="K15" s="11" t="s">
        <v>502</v>
      </c>
      <c r="L15" s="11" t="s">
        <v>503</v>
      </c>
      <c r="M15" s="11" t="s">
        <v>105</v>
      </c>
      <c r="N15" s="11" t="s">
        <v>385</v>
      </c>
      <c r="O15" s="11" t="s">
        <v>504</v>
      </c>
      <c r="P15" s="11" t="s">
        <v>505</v>
      </c>
      <c r="Q15" s="11" t="s">
        <v>506</v>
      </c>
      <c r="R15" s="11" t="s">
        <v>109</v>
      </c>
      <c r="S15" s="11" t="s">
        <v>203</v>
      </c>
      <c r="T15" s="12" t="s">
        <v>111</v>
      </c>
    </row>
    <row r="16" spans="1:20">
      <c r="A16" s="7" t="s">
        <v>507</v>
      </c>
      <c r="B16" s="8" t="s">
        <v>508</v>
      </c>
      <c r="C16" s="8" t="s">
        <v>509</v>
      </c>
      <c r="D16" s="8" t="s">
        <v>510</v>
      </c>
      <c r="E16" s="8" t="s">
        <v>511</v>
      </c>
      <c r="F16" s="8" t="s">
        <v>512</v>
      </c>
      <c r="G16" s="8" t="s">
        <v>455</v>
      </c>
      <c r="H16" s="8" t="s">
        <v>513</v>
      </c>
      <c r="I16" s="8" t="s">
        <v>442</v>
      </c>
      <c r="J16" s="8" t="s">
        <v>514</v>
      </c>
      <c r="K16" s="8" t="s">
        <v>430</v>
      </c>
      <c r="L16" s="8" t="s">
        <v>515</v>
      </c>
      <c r="M16" s="8" t="s">
        <v>105</v>
      </c>
      <c r="N16" s="8" t="s">
        <v>385</v>
      </c>
      <c r="O16" s="8" t="s">
        <v>516</v>
      </c>
      <c r="P16" s="8" t="s">
        <v>510</v>
      </c>
      <c r="Q16" s="8" t="s">
        <v>517</v>
      </c>
      <c r="R16" s="8" t="s">
        <v>121</v>
      </c>
      <c r="S16" s="8" t="s">
        <v>203</v>
      </c>
      <c r="T16" s="9" t="s">
        <v>111</v>
      </c>
    </row>
    <row r="17" ht="28" spans="1:20">
      <c r="A17" s="10" t="s">
        <v>518</v>
      </c>
      <c r="B17" s="11" t="s">
        <v>508</v>
      </c>
      <c r="C17" s="11" t="s">
        <v>519</v>
      </c>
      <c r="D17" s="11" t="s">
        <v>520</v>
      </c>
      <c r="E17" s="11" t="s">
        <v>521</v>
      </c>
      <c r="F17" s="11" t="s">
        <v>522</v>
      </c>
      <c r="G17" s="11" t="s">
        <v>523</v>
      </c>
      <c r="H17" s="11" t="s">
        <v>524</v>
      </c>
      <c r="I17" s="11" t="s">
        <v>525</v>
      </c>
      <c r="J17" s="11" t="s">
        <v>526</v>
      </c>
      <c r="K17" s="11" t="s">
        <v>527</v>
      </c>
      <c r="L17" s="11" t="s">
        <v>528</v>
      </c>
      <c r="M17" s="11" t="s">
        <v>105</v>
      </c>
      <c r="N17" s="11" t="s">
        <v>385</v>
      </c>
      <c r="O17" s="11" t="s">
        <v>155</v>
      </c>
      <c r="P17" s="11" t="s">
        <v>156</v>
      </c>
      <c r="Q17" s="11" t="s">
        <v>529</v>
      </c>
      <c r="R17" s="11" t="s">
        <v>109</v>
      </c>
      <c r="S17" s="11" t="s">
        <v>203</v>
      </c>
      <c r="T17" s="12" t="s">
        <v>111</v>
      </c>
    </row>
    <row r="18" ht="28" spans="1:20">
      <c r="A18" s="7" t="s">
        <v>530</v>
      </c>
      <c r="B18" s="8" t="s">
        <v>508</v>
      </c>
      <c r="C18" s="8" t="s">
        <v>531</v>
      </c>
      <c r="D18" s="8" t="s">
        <v>532</v>
      </c>
      <c r="E18" s="8" t="s">
        <v>533</v>
      </c>
      <c r="F18" s="8" t="s">
        <v>534</v>
      </c>
      <c r="G18" s="8" t="s">
        <v>535</v>
      </c>
      <c r="H18" s="8" t="s">
        <v>536</v>
      </c>
      <c r="I18" s="8" t="s">
        <v>537</v>
      </c>
      <c r="J18" s="8" t="s">
        <v>538</v>
      </c>
      <c r="K18" s="8" t="s">
        <v>539</v>
      </c>
      <c r="L18" s="8" t="s">
        <v>540</v>
      </c>
      <c r="M18" s="8" t="s">
        <v>105</v>
      </c>
      <c r="N18" s="8" t="s">
        <v>385</v>
      </c>
      <c r="O18" s="8" t="s">
        <v>155</v>
      </c>
      <c r="P18" s="8" t="s">
        <v>156</v>
      </c>
      <c r="Q18" s="8" t="s">
        <v>529</v>
      </c>
      <c r="R18" s="8" t="s">
        <v>109</v>
      </c>
      <c r="S18" s="8" t="s">
        <v>110</v>
      </c>
      <c r="T18" s="9" t="s">
        <v>111</v>
      </c>
    </row>
    <row r="19" ht="28" spans="1:20">
      <c r="A19" s="10" t="s">
        <v>541</v>
      </c>
      <c r="B19" s="11" t="s">
        <v>374</v>
      </c>
      <c r="C19" s="11" t="s">
        <v>542</v>
      </c>
      <c r="D19" s="11" t="s">
        <v>543</v>
      </c>
      <c r="E19" s="11" t="s">
        <v>544</v>
      </c>
      <c r="F19" s="11" t="s">
        <v>545</v>
      </c>
      <c r="G19" s="11" t="s">
        <v>546</v>
      </c>
      <c r="H19" s="11" t="s">
        <v>547</v>
      </c>
      <c r="I19" s="11" t="s">
        <v>548</v>
      </c>
      <c r="J19" s="11" t="s">
        <v>549</v>
      </c>
      <c r="K19" s="11" t="s">
        <v>539</v>
      </c>
      <c r="L19" s="11" t="s">
        <v>550</v>
      </c>
      <c r="M19" s="11" t="s">
        <v>105</v>
      </c>
      <c r="N19" s="11" t="s">
        <v>385</v>
      </c>
      <c r="O19" s="11" t="s">
        <v>155</v>
      </c>
      <c r="P19" s="11" t="s">
        <v>156</v>
      </c>
      <c r="Q19" s="11" t="s">
        <v>529</v>
      </c>
      <c r="R19" s="11" t="s">
        <v>109</v>
      </c>
      <c r="S19" s="11" t="s">
        <v>203</v>
      </c>
      <c r="T19" s="12" t="s">
        <v>111</v>
      </c>
    </row>
    <row r="20" ht="55" spans="1:20">
      <c r="A20" s="7" t="s">
        <v>551</v>
      </c>
      <c r="B20" s="8" t="s">
        <v>552</v>
      </c>
      <c r="C20" s="8" t="s">
        <v>553</v>
      </c>
      <c r="D20" s="8" t="s">
        <v>554</v>
      </c>
      <c r="E20" s="8" t="s">
        <v>555</v>
      </c>
      <c r="F20" s="8" t="s">
        <v>556</v>
      </c>
      <c r="G20" s="8" t="s">
        <v>557</v>
      </c>
      <c r="H20" s="8" t="s">
        <v>558</v>
      </c>
      <c r="I20" s="8" t="s">
        <v>559</v>
      </c>
      <c r="J20" s="8" t="s">
        <v>560</v>
      </c>
      <c r="K20" s="8" t="s">
        <v>561</v>
      </c>
      <c r="L20" s="8" t="s">
        <v>562</v>
      </c>
      <c r="M20" s="8" t="s">
        <v>105</v>
      </c>
      <c r="N20" s="8" t="s">
        <v>385</v>
      </c>
      <c r="O20" s="8" t="s">
        <v>563</v>
      </c>
      <c r="P20" s="8" t="s">
        <v>564</v>
      </c>
      <c r="Q20" s="8" t="s">
        <v>565</v>
      </c>
      <c r="R20" s="8" t="s">
        <v>109</v>
      </c>
      <c r="S20" s="8" t="s">
        <v>110</v>
      </c>
      <c r="T20" s="9" t="s">
        <v>111</v>
      </c>
    </row>
    <row r="21" ht="28" spans="1:20">
      <c r="A21" s="10" t="s">
        <v>566</v>
      </c>
      <c r="B21" s="11" t="s">
        <v>374</v>
      </c>
      <c r="C21" s="11" t="s">
        <v>567</v>
      </c>
      <c r="D21" s="11" t="s">
        <v>568</v>
      </c>
      <c r="E21" s="11" t="s">
        <v>569</v>
      </c>
      <c r="F21" s="11" t="s">
        <v>570</v>
      </c>
      <c r="G21" s="11" t="s">
        <v>571</v>
      </c>
      <c r="H21" s="11" t="s">
        <v>572</v>
      </c>
      <c r="I21" s="11" t="s">
        <v>573</v>
      </c>
      <c r="J21" s="11" t="s">
        <v>574</v>
      </c>
      <c r="K21" s="11" t="s">
        <v>383</v>
      </c>
      <c r="L21" s="11" t="s">
        <v>575</v>
      </c>
      <c r="M21" s="11" t="s">
        <v>276</v>
      </c>
      <c r="N21" s="11" t="s">
        <v>385</v>
      </c>
      <c r="O21" s="11" t="s">
        <v>576</v>
      </c>
      <c r="P21" s="11" t="s">
        <v>568</v>
      </c>
      <c r="Q21" s="11" t="s">
        <v>577</v>
      </c>
      <c r="R21" s="11" t="s">
        <v>121</v>
      </c>
      <c r="S21" s="11" t="s">
        <v>110</v>
      </c>
      <c r="T21" s="12" t="s">
        <v>111</v>
      </c>
    </row>
    <row r="22" spans="1:20">
      <c r="A22" s="7" t="s">
        <v>578</v>
      </c>
      <c r="B22" s="8" t="s">
        <v>374</v>
      </c>
      <c r="C22" s="8" t="s">
        <v>579</v>
      </c>
      <c r="D22" s="8" t="s">
        <v>580</v>
      </c>
      <c r="E22" s="8" t="s">
        <v>581</v>
      </c>
      <c r="F22" s="8" t="s">
        <v>582</v>
      </c>
      <c r="G22" s="8" t="s">
        <v>583</v>
      </c>
      <c r="H22" s="8" t="s">
        <v>584</v>
      </c>
      <c r="I22" s="8" t="s">
        <v>442</v>
      </c>
      <c r="J22" s="8" t="s">
        <v>585</v>
      </c>
      <c r="K22" s="8" t="s">
        <v>586</v>
      </c>
      <c r="L22" s="8" t="s">
        <v>587</v>
      </c>
      <c r="M22" s="8" t="s">
        <v>276</v>
      </c>
      <c r="N22" s="8" t="s">
        <v>385</v>
      </c>
      <c r="O22" s="8" t="s">
        <v>588</v>
      </c>
      <c r="P22" s="8" t="s">
        <v>580</v>
      </c>
      <c r="Q22" s="8" t="s">
        <v>589</v>
      </c>
      <c r="R22" s="8" t="s">
        <v>121</v>
      </c>
      <c r="S22" s="8" t="s">
        <v>203</v>
      </c>
      <c r="T22" s="9" t="s">
        <v>111</v>
      </c>
    </row>
    <row r="23" ht="28" spans="1:20">
      <c r="A23" s="10" t="s">
        <v>590</v>
      </c>
      <c r="B23" s="11" t="s">
        <v>374</v>
      </c>
      <c r="C23" s="11" t="s">
        <v>591</v>
      </c>
      <c r="D23" s="11" t="s">
        <v>592</v>
      </c>
      <c r="E23" s="11" t="s">
        <v>593</v>
      </c>
      <c r="F23" s="11" t="s">
        <v>594</v>
      </c>
      <c r="G23" s="11" t="s">
        <v>571</v>
      </c>
      <c r="H23" s="11" t="s">
        <v>595</v>
      </c>
      <c r="I23" s="11" t="s">
        <v>442</v>
      </c>
      <c r="J23" s="11" t="s">
        <v>596</v>
      </c>
      <c r="K23" s="11" t="s">
        <v>586</v>
      </c>
      <c r="L23" s="11" t="s">
        <v>597</v>
      </c>
      <c r="M23" s="11" t="s">
        <v>276</v>
      </c>
      <c r="N23" s="11" t="s">
        <v>385</v>
      </c>
      <c r="O23" s="11" t="s">
        <v>598</v>
      </c>
      <c r="P23" s="11" t="s">
        <v>599</v>
      </c>
      <c r="Q23" s="11" t="s">
        <v>600</v>
      </c>
      <c r="R23" s="11" t="s">
        <v>109</v>
      </c>
      <c r="S23" s="11" t="s">
        <v>203</v>
      </c>
      <c r="T23" s="12" t="s">
        <v>111</v>
      </c>
    </row>
    <row r="24" ht="28" spans="1:20">
      <c r="A24" s="7" t="s">
        <v>601</v>
      </c>
      <c r="B24" s="8" t="s">
        <v>374</v>
      </c>
      <c r="C24" s="8" t="s">
        <v>602</v>
      </c>
      <c r="D24" s="8" t="s">
        <v>603</v>
      </c>
      <c r="E24" s="8" t="s">
        <v>593</v>
      </c>
      <c r="F24" s="8" t="s">
        <v>604</v>
      </c>
      <c r="G24" s="8" t="s">
        <v>571</v>
      </c>
      <c r="H24" s="8" t="s">
        <v>536</v>
      </c>
      <c r="I24" s="8" t="s">
        <v>442</v>
      </c>
      <c r="J24" s="8" t="s">
        <v>605</v>
      </c>
      <c r="K24" s="8" t="s">
        <v>586</v>
      </c>
      <c r="L24" s="8" t="s">
        <v>606</v>
      </c>
      <c r="M24" s="8" t="s">
        <v>276</v>
      </c>
      <c r="N24" s="8" t="s">
        <v>385</v>
      </c>
      <c r="O24" s="8" t="s">
        <v>607</v>
      </c>
      <c r="P24" s="8" t="s">
        <v>608</v>
      </c>
      <c r="Q24" s="8" t="s">
        <v>609</v>
      </c>
      <c r="R24" s="8" t="s">
        <v>121</v>
      </c>
      <c r="S24" s="8" t="s">
        <v>203</v>
      </c>
      <c r="T24" s="9" t="s">
        <v>111</v>
      </c>
    </row>
    <row r="25" ht="41" spans="1:20">
      <c r="A25" s="10" t="s">
        <v>610</v>
      </c>
      <c r="B25" s="11" t="s">
        <v>450</v>
      </c>
      <c r="C25" s="11" t="s">
        <v>611</v>
      </c>
      <c r="D25" s="11" t="s">
        <v>612</v>
      </c>
      <c r="E25" s="11" t="s">
        <v>613</v>
      </c>
      <c r="F25" s="11" t="s">
        <v>614</v>
      </c>
      <c r="G25" s="11" t="s">
        <v>615</v>
      </c>
      <c r="H25" s="11" t="s">
        <v>616</v>
      </c>
      <c r="I25" s="11" t="s">
        <v>617</v>
      </c>
      <c r="J25" s="11" t="s">
        <v>618</v>
      </c>
      <c r="K25" s="11" t="s">
        <v>619</v>
      </c>
      <c r="L25" s="11" t="s">
        <v>620</v>
      </c>
      <c r="M25" s="11" t="s">
        <v>276</v>
      </c>
      <c r="N25" s="11" t="s">
        <v>385</v>
      </c>
      <c r="O25" s="11" t="s">
        <v>621</v>
      </c>
      <c r="P25" s="11" t="s">
        <v>622</v>
      </c>
      <c r="Q25" s="11" t="s">
        <v>623</v>
      </c>
      <c r="R25" s="11" t="s">
        <v>109</v>
      </c>
      <c r="S25" s="11" t="s">
        <v>110</v>
      </c>
      <c r="T25" s="12" t="s">
        <v>111</v>
      </c>
    </row>
    <row r="26" ht="41" spans="1:20">
      <c r="A26" s="7" t="s">
        <v>624</v>
      </c>
      <c r="B26" s="8" t="s">
        <v>450</v>
      </c>
      <c r="C26" s="8" t="s">
        <v>625</v>
      </c>
      <c r="D26" s="8" t="s">
        <v>626</v>
      </c>
      <c r="E26" s="8" t="s">
        <v>627</v>
      </c>
      <c r="F26" s="8" t="s">
        <v>628</v>
      </c>
      <c r="G26" s="8" t="s">
        <v>629</v>
      </c>
      <c r="H26" s="8" t="s">
        <v>630</v>
      </c>
      <c r="I26" s="8" t="s">
        <v>442</v>
      </c>
      <c r="J26" s="8" t="s">
        <v>631</v>
      </c>
      <c r="K26" s="8" t="s">
        <v>619</v>
      </c>
      <c r="L26" s="8" t="s">
        <v>597</v>
      </c>
      <c r="M26" s="8" t="s">
        <v>276</v>
      </c>
      <c r="N26" s="8" t="s">
        <v>385</v>
      </c>
      <c r="O26" s="8" t="s">
        <v>632</v>
      </c>
      <c r="P26" s="8" t="s">
        <v>633</v>
      </c>
      <c r="Q26" s="8" t="s">
        <v>634</v>
      </c>
      <c r="R26" s="8" t="s">
        <v>109</v>
      </c>
      <c r="S26" s="8" t="s">
        <v>203</v>
      </c>
      <c r="T26" s="9" t="s">
        <v>111</v>
      </c>
    </row>
    <row r="27" ht="41" spans="1:20">
      <c r="A27" s="10" t="s">
        <v>635</v>
      </c>
      <c r="B27" s="11" t="s">
        <v>450</v>
      </c>
      <c r="C27" s="11" t="s">
        <v>636</v>
      </c>
      <c r="D27" s="11" t="s">
        <v>637</v>
      </c>
      <c r="E27" s="11" t="s">
        <v>638</v>
      </c>
      <c r="F27" s="11" t="s">
        <v>639</v>
      </c>
      <c r="G27" s="11" t="s">
        <v>571</v>
      </c>
      <c r="H27" s="11" t="s">
        <v>640</v>
      </c>
      <c r="I27" s="11" t="s">
        <v>442</v>
      </c>
      <c r="J27" s="11" t="s">
        <v>641</v>
      </c>
      <c r="K27" s="11" t="s">
        <v>383</v>
      </c>
      <c r="L27" s="11" t="s">
        <v>642</v>
      </c>
      <c r="M27" s="11" t="s">
        <v>276</v>
      </c>
      <c r="N27" s="11" t="s">
        <v>385</v>
      </c>
      <c r="O27" s="11" t="s">
        <v>643</v>
      </c>
      <c r="P27" s="11" t="s">
        <v>637</v>
      </c>
      <c r="Q27" s="11" t="s">
        <v>644</v>
      </c>
      <c r="R27" s="11" t="s">
        <v>109</v>
      </c>
      <c r="S27" s="11" t="s">
        <v>203</v>
      </c>
      <c r="T27" s="12" t="s">
        <v>111</v>
      </c>
    </row>
    <row r="28" ht="28" spans="1:20">
      <c r="A28" s="7" t="s">
        <v>645</v>
      </c>
      <c r="B28" s="8" t="s">
        <v>450</v>
      </c>
      <c r="C28" s="8" t="s">
        <v>646</v>
      </c>
      <c r="D28" s="8" t="s">
        <v>647</v>
      </c>
      <c r="E28" s="8" t="s">
        <v>627</v>
      </c>
      <c r="F28" s="8" t="s">
        <v>648</v>
      </c>
      <c r="G28" s="8" t="s">
        <v>649</v>
      </c>
      <c r="H28" s="8" t="s">
        <v>650</v>
      </c>
      <c r="I28" s="8" t="s">
        <v>442</v>
      </c>
      <c r="J28" s="8" t="s">
        <v>651</v>
      </c>
      <c r="K28" s="8" t="s">
        <v>619</v>
      </c>
      <c r="L28" s="8" t="s">
        <v>652</v>
      </c>
      <c r="M28" s="8" t="s">
        <v>276</v>
      </c>
      <c r="N28" s="8" t="s">
        <v>385</v>
      </c>
      <c r="O28" s="8" t="s">
        <v>598</v>
      </c>
      <c r="P28" s="8" t="s">
        <v>599</v>
      </c>
      <c r="Q28" s="8" t="s">
        <v>600</v>
      </c>
      <c r="R28" s="8" t="s">
        <v>109</v>
      </c>
      <c r="S28" s="8" t="s">
        <v>203</v>
      </c>
      <c r="T28" s="9" t="s">
        <v>111</v>
      </c>
    </row>
    <row r="29" ht="28" spans="1:20">
      <c r="A29" s="10" t="s">
        <v>653</v>
      </c>
      <c r="B29" s="11" t="s">
        <v>450</v>
      </c>
      <c r="C29" s="11" t="s">
        <v>654</v>
      </c>
      <c r="D29" s="11" t="s">
        <v>655</v>
      </c>
      <c r="E29" s="11" t="s">
        <v>243</v>
      </c>
      <c r="F29" s="11" t="s">
        <v>656</v>
      </c>
      <c r="G29" s="11" t="s">
        <v>499</v>
      </c>
      <c r="H29" s="11" t="s">
        <v>657</v>
      </c>
      <c r="I29" s="11" t="s">
        <v>442</v>
      </c>
      <c r="J29" s="11" t="s">
        <v>651</v>
      </c>
      <c r="K29" s="11" t="s">
        <v>619</v>
      </c>
      <c r="L29" s="11" t="s">
        <v>658</v>
      </c>
      <c r="M29" s="11" t="s">
        <v>276</v>
      </c>
      <c r="N29" s="11" t="s">
        <v>385</v>
      </c>
      <c r="O29" s="11" t="s">
        <v>598</v>
      </c>
      <c r="P29" s="11" t="s">
        <v>599</v>
      </c>
      <c r="Q29" s="11" t="s">
        <v>600</v>
      </c>
      <c r="R29" s="11" t="s">
        <v>109</v>
      </c>
      <c r="S29" s="11" t="s">
        <v>203</v>
      </c>
      <c r="T29" s="12" t="s">
        <v>111</v>
      </c>
    </row>
    <row r="30" ht="28" spans="1:20">
      <c r="A30" s="7" t="s">
        <v>659</v>
      </c>
      <c r="B30" s="8" t="s">
        <v>450</v>
      </c>
      <c r="C30" s="8" t="s">
        <v>660</v>
      </c>
      <c r="D30" s="8" t="s">
        <v>661</v>
      </c>
      <c r="E30" s="8" t="s">
        <v>662</v>
      </c>
      <c r="F30" s="8" t="s">
        <v>663</v>
      </c>
      <c r="G30" s="8" t="s">
        <v>499</v>
      </c>
      <c r="H30" s="8" t="s">
        <v>664</v>
      </c>
      <c r="I30" s="8" t="s">
        <v>442</v>
      </c>
      <c r="J30" s="8" t="s">
        <v>651</v>
      </c>
      <c r="K30" s="8" t="s">
        <v>665</v>
      </c>
      <c r="L30" s="8" t="s">
        <v>666</v>
      </c>
      <c r="M30" s="8" t="s">
        <v>276</v>
      </c>
      <c r="N30" s="8" t="s">
        <v>385</v>
      </c>
      <c r="O30" s="8" t="s">
        <v>598</v>
      </c>
      <c r="P30" s="8" t="s">
        <v>599</v>
      </c>
      <c r="Q30" s="8" t="s">
        <v>600</v>
      </c>
      <c r="R30" s="8" t="s">
        <v>109</v>
      </c>
      <c r="S30" s="8" t="s">
        <v>203</v>
      </c>
      <c r="T30" s="9" t="s">
        <v>111</v>
      </c>
    </row>
    <row r="31" ht="28" spans="1:20">
      <c r="A31" s="10" t="s">
        <v>667</v>
      </c>
      <c r="B31" s="11" t="s">
        <v>450</v>
      </c>
      <c r="C31" s="11" t="s">
        <v>668</v>
      </c>
      <c r="D31" s="11" t="s">
        <v>669</v>
      </c>
      <c r="E31" s="11" t="s">
        <v>649</v>
      </c>
      <c r="F31" s="11" t="s">
        <v>670</v>
      </c>
      <c r="G31" s="11" t="s">
        <v>629</v>
      </c>
      <c r="H31" s="11" t="s">
        <v>671</v>
      </c>
      <c r="I31" s="11" t="s">
        <v>442</v>
      </c>
      <c r="J31" s="11" t="s">
        <v>651</v>
      </c>
      <c r="K31" s="11" t="s">
        <v>665</v>
      </c>
      <c r="L31" s="11" t="s">
        <v>672</v>
      </c>
      <c r="M31" s="11" t="s">
        <v>276</v>
      </c>
      <c r="N31" s="11" t="s">
        <v>385</v>
      </c>
      <c r="O31" s="11" t="s">
        <v>598</v>
      </c>
      <c r="P31" s="11" t="s">
        <v>599</v>
      </c>
      <c r="Q31" s="11" t="s">
        <v>600</v>
      </c>
      <c r="R31" s="11" t="s">
        <v>109</v>
      </c>
      <c r="S31" s="11" t="s">
        <v>203</v>
      </c>
      <c r="T31" s="12" t="s">
        <v>111</v>
      </c>
    </row>
    <row r="32" ht="41" spans="1:20">
      <c r="A32" s="7" t="s">
        <v>673</v>
      </c>
      <c r="B32" s="8" t="s">
        <v>450</v>
      </c>
      <c r="C32" s="8" t="s">
        <v>674</v>
      </c>
      <c r="D32" s="8" t="s">
        <v>413</v>
      </c>
      <c r="E32" s="8" t="s">
        <v>675</v>
      </c>
      <c r="F32" s="8" t="s">
        <v>676</v>
      </c>
      <c r="G32" s="8" t="s">
        <v>677</v>
      </c>
      <c r="H32" s="8" t="s">
        <v>678</v>
      </c>
      <c r="I32" s="8" t="s">
        <v>442</v>
      </c>
      <c r="J32" s="8" t="s">
        <v>651</v>
      </c>
      <c r="K32" s="8" t="s">
        <v>665</v>
      </c>
      <c r="L32" s="8" t="s">
        <v>666</v>
      </c>
      <c r="M32" s="8" t="s">
        <v>276</v>
      </c>
      <c r="N32" s="8" t="s">
        <v>385</v>
      </c>
      <c r="O32" s="8" t="s">
        <v>679</v>
      </c>
      <c r="P32" s="8" t="s">
        <v>680</v>
      </c>
      <c r="Q32" s="8" t="s">
        <v>681</v>
      </c>
      <c r="R32" s="8" t="s">
        <v>109</v>
      </c>
      <c r="S32" s="8" t="s">
        <v>203</v>
      </c>
      <c r="T32" s="9" t="s">
        <v>111</v>
      </c>
    </row>
    <row r="33" spans="1:20">
      <c r="A33" s="10" t="s">
        <v>682</v>
      </c>
      <c r="B33" s="11" t="s">
        <v>450</v>
      </c>
      <c r="C33" s="11" t="s">
        <v>683</v>
      </c>
      <c r="D33" s="11" t="s">
        <v>612</v>
      </c>
      <c r="E33" s="11" t="s">
        <v>649</v>
      </c>
      <c r="F33" s="11" t="s">
        <v>684</v>
      </c>
      <c r="G33" s="11" t="s">
        <v>629</v>
      </c>
      <c r="H33" s="11" t="s">
        <v>685</v>
      </c>
      <c r="I33" s="11" t="s">
        <v>442</v>
      </c>
      <c r="J33" s="11" t="s">
        <v>686</v>
      </c>
      <c r="K33" s="11" t="s">
        <v>619</v>
      </c>
      <c r="L33" s="11" t="s">
        <v>687</v>
      </c>
      <c r="M33" s="11" t="s">
        <v>276</v>
      </c>
      <c r="N33" s="11" t="s">
        <v>385</v>
      </c>
      <c r="O33" s="11" t="s">
        <v>688</v>
      </c>
      <c r="P33" s="11" t="s">
        <v>612</v>
      </c>
      <c r="Q33" s="11" t="s">
        <v>689</v>
      </c>
      <c r="R33" s="11" t="s">
        <v>121</v>
      </c>
      <c r="S33" s="11" t="s">
        <v>203</v>
      </c>
      <c r="T33" s="12" t="s">
        <v>111</v>
      </c>
    </row>
    <row r="34" spans="1:20">
      <c r="A34" s="7" t="s">
        <v>690</v>
      </c>
      <c r="B34" s="8" t="s">
        <v>374</v>
      </c>
      <c r="C34" s="8" t="s">
        <v>691</v>
      </c>
      <c r="D34" s="8" t="s">
        <v>376</v>
      </c>
      <c r="E34" s="8" t="s">
        <v>234</v>
      </c>
      <c r="F34" s="8" t="s">
        <v>692</v>
      </c>
      <c r="G34" s="8" t="s">
        <v>571</v>
      </c>
      <c r="H34" s="8" t="s">
        <v>693</v>
      </c>
      <c r="I34" s="8" t="s">
        <v>694</v>
      </c>
      <c r="J34" s="8" t="s">
        <v>695</v>
      </c>
      <c r="K34" s="8" t="s">
        <v>383</v>
      </c>
      <c r="L34" s="8" t="s">
        <v>696</v>
      </c>
      <c r="M34" s="8" t="s">
        <v>276</v>
      </c>
      <c r="N34" s="8" t="s">
        <v>385</v>
      </c>
      <c r="O34" s="8" t="s">
        <v>697</v>
      </c>
      <c r="P34" s="8" t="s">
        <v>376</v>
      </c>
      <c r="Q34" s="8" t="s">
        <v>387</v>
      </c>
      <c r="R34" s="8" t="s">
        <v>121</v>
      </c>
      <c r="S34" s="8" t="s">
        <v>203</v>
      </c>
      <c r="T34" s="9" t="s">
        <v>111</v>
      </c>
    </row>
    <row r="35" spans="1:20">
      <c r="A35" s="10" t="s">
        <v>698</v>
      </c>
      <c r="B35" s="11" t="s">
        <v>508</v>
      </c>
      <c r="C35" s="11" t="s">
        <v>699</v>
      </c>
      <c r="D35" s="11" t="s">
        <v>376</v>
      </c>
      <c r="E35" s="11" t="s">
        <v>700</v>
      </c>
      <c r="F35" s="11" t="s">
        <v>701</v>
      </c>
      <c r="G35" s="11" t="s">
        <v>629</v>
      </c>
      <c r="H35" s="11" t="s">
        <v>702</v>
      </c>
      <c r="I35" s="11" t="s">
        <v>442</v>
      </c>
      <c r="J35" s="11" t="s">
        <v>703</v>
      </c>
      <c r="K35" s="11" t="s">
        <v>704</v>
      </c>
      <c r="L35" s="11" t="s">
        <v>705</v>
      </c>
      <c r="M35" s="11" t="s">
        <v>276</v>
      </c>
      <c r="N35" s="11" t="s">
        <v>385</v>
      </c>
      <c r="O35" s="11" t="s">
        <v>706</v>
      </c>
      <c r="P35" s="11" t="s">
        <v>376</v>
      </c>
      <c r="Q35" s="11" t="s">
        <v>707</v>
      </c>
      <c r="R35" s="11" t="s">
        <v>121</v>
      </c>
      <c r="S35" s="11" t="s">
        <v>203</v>
      </c>
      <c r="T35" s="12" t="s">
        <v>111</v>
      </c>
    </row>
    <row r="36" ht="55" spans="1:20">
      <c r="A36" s="7" t="s">
        <v>708</v>
      </c>
      <c r="B36" s="8" t="s">
        <v>508</v>
      </c>
      <c r="C36" s="8" t="s">
        <v>709</v>
      </c>
      <c r="D36" s="8" t="s">
        <v>463</v>
      </c>
      <c r="E36" s="8" t="s">
        <v>497</v>
      </c>
      <c r="F36" s="8" t="s">
        <v>710</v>
      </c>
      <c r="G36" s="8" t="s">
        <v>499</v>
      </c>
      <c r="H36" s="8" t="s">
        <v>711</v>
      </c>
      <c r="I36" s="8" t="s">
        <v>442</v>
      </c>
      <c r="J36" s="8" t="s">
        <v>712</v>
      </c>
      <c r="K36" s="8" t="s">
        <v>713</v>
      </c>
      <c r="L36" s="8" t="s">
        <v>714</v>
      </c>
      <c r="M36" s="8" t="s">
        <v>276</v>
      </c>
      <c r="N36" s="8" t="s">
        <v>385</v>
      </c>
      <c r="O36" s="8" t="s">
        <v>715</v>
      </c>
      <c r="P36" s="8" t="s">
        <v>463</v>
      </c>
      <c r="Q36" s="8" t="s">
        <v>716</v>
      </c>
      <c r="R36" s="8" t="s">
        <v>109</v>
      </c>
      <c r="S36" s="8" t="s">
        <v>203</v>
      </c>
      <c r="T36" s="9" t="s">
        <v>111</v>
      </c>
    </row>
    <row r="37" ht="41" spans="1:20">
      <c r="A37" s="10" t="s">
        <v>717</v>
      </c>
      <c r="B37" s="11" t="s">
        <v>374</v>
      </c>
      <c r="C37" s="11" t="s">
        <v>718</v>
      </c>
      <c r="D37" s="11" t="s">
        <v>463</v>
      </c>
      <c r="E37" s="11" t="s">
        <v>719</v>
      </c>
      <c r="F37" s="11" t="s">
        <v>720</v>
      </c>
      <c r="G37" s="11" t="s">
        <v>535</v>
      </c>
      <c r="H37" s="11" t="s">
        <v>721</v>
      </c>
      <c r="I37" s="11" t="s">
        <v>442</v>
      </c>
      <c r="J37" s="11" t="s">
        <v>722</v>
      </c>
      <c r="K37" s="11" t="s">
        <v>713</v>
      </c>
      <c r="L37" s="11" t="s">
        <v>723</v>
      </c>
      <c r="M37" s="11" t="s">
        <v>276</v>
      </c>
      <c r="N37" s="11" t="s">
        <v>385</v>
      </c>
      <c r="O37" s="11" t="s">
        <v>724</v>
      </c>
      <c r="P37" s="11" t="s">
        <v>725</v>
      </c>
      <c r="Q37" s="11" t="s">
        <v>726</v>
      </c>
      <c r="R37" s="11" t="s">
        <v>109</v>
      </c>
      <c r="S37" s="11" t="s">
        <v>203</v>
      </c>
      <c r="T37" s="12" t="s">
        <v>111</v>
      </c>
    </row>
    <row r="38" ht="28" spans="1:20">
      <c r="A38" s="7" t="s">
        <v>727</v>
      </c>
      <c r="B38" s="8" t="s">
        <v>508</v>
      </c>
      <c r="C38" s="8" t="s">
        <v>728</v>
      </c>
      <c r="D38" s="8" t="s">
        <v>729</v>
      </c>
      <c r="E38" s="8" t="s">
        <v>730</v>
      </c>
      <c r="F38" s="8" t="s">
        <v>731</v>
      </c>
      <c r="G38" s="8" t="s">
        <v>615</v>
      </c>
      <c r="H38" s="8" t="s">
        <v>732</v>
      </c>
      <c r="I38" s="8" t="s">
        <v>442</v>
      </c>
      <c r="J38" s="8" t="s">
        <v>733</v>
      </c>
      <c r="K38" s="8" t="s">
        <v>502</v>
      </c>
      <c r="L38" s="8" t="s">
        <v>734</v>
      </c>
      <c r="M38" s="8" t="s">
        <v>276</v>
      </c>
      <c r="N38" s="8" t="s">
        <v>385</v>
      </c>
      <c r="O38" s="8" t="s">
        <v>598</v>
      </c>
      <c r="P38" s="8" t="s">
        <v>599</v>
      </c>
      <c r="Q38" s="8" t="s">
        <v>600</v>
      </c>
      <c r="R38" s="8" t="s">
        <v>109</v>
      </c>
      <c r="S38" s="8" t="s">
        <v>203</v>
      </c>
      <c r="T38" s="9" t="s">
        <v>111</v>
      </c>
    </row>
    <row r="39" ht="28" spans="1:20">
      <c r="A39" s="10" t="s">
        <v>735</v>
      </c>
      <c r="B39" s="11" t="s">
        <v>508</v>
      </c>
      <c r="C39" s="11" t="s">
        <v>736</v>
      </c>
      <c r="D39" s="11" t="s">
        <v>737</v>
      </c>
      <c r="E39" s="11" t="s">
        <v>675</v>
      </c>
      <c r="F39" s="11" t="s">
        <v>738</v>
      </c>
      <c r="G39" s="11" t="s">
        <v>455</v>
      </c>
      <c r="H39" s="11" t="s">
        <v>739</v>
      </c>
      <c r="I39" s="11" t="s">
        <v>442</v>
      </c>
      <c r="J39" s="11" t="s">
        <v>740</v>
      </c>
      <c r="K39" s="11" t="s">
        <v>586</v>
      </c>
      <c r="L39" s="11" t="s">
        <v>741</v>
      </c>
      <c r="M39" s="11" t="s">
        <v>276</v>
      </c>
      <c r="N39" s="11" t="s">
        <v>385</v>
      </c>
      <c r="O39" s="11" t="s">
        <v>607</v>
      </c>
      <c r="P39" s="11" t="s">
        <v>608</v>
      </c>
      <c r="Q39" s="11" t="s">
        <v>609</v>
      </c>
      <c r="R39" s="11" t="s">
        <v>121</v>
      </c>
      <c r="S39" s="11" t="s">
        <v>203</v>
      </c>
      <c r="T39" s="12" t="s">
        <v>111</v>
      </c>
    </row>
    <row r="40" spans="1:20">
      <c r="A40" s="7" t="s">
        <v>742</v>
      </c>
      <c r="B40" s="8" t="s">
        <v>508</v>
      </c>
      <c r="C40" s="8" t="s">
        <v>743</v>
      </c>
      <c r="D40" s="8" t="s">
        <v>744</v>
      </c>
      <c r="E40" s="8" t="s">
        <v>745</v>
      </c>
      <c r="F40" s="8" t="s">
        <v>746</v>
      </c>
      <c r="G40" s="8" t="s">
        <v>455</v>
      </c>
      <c r="H40" s="8" t="s">
        <v>747</v>
      </c>
      <c r="I40" s="8" t="s">
        <v>442</v>
      </c>
      <c r="J40" s="8" t="s">
        <v>748</v>
      </c>
      <c r="K40" s="8" t="s">
        <v>713</v>
      </c>
      <c r="L40" s="8" t="s">
        <v>749</v>
      </c>
      <c r="M40" s="8" t="s">
        <v>276</v>
      </c>
      <c r="N40" s="8" t="s">
        <v>385</v>
      </c>
      <c r="O40" s="8" t="s">
        <v>750</v>
      </c>
      <c r="P40" s="8" t="s">
        <v>744</v>
      </c>
      <c r="Q40" s="8" t="s">
        <v>751</v>
      </c>
      <c r="R40" s="8" t="s">
        <v>121</v>
      </c>
      <c r="S40" s="8" t="s">
        <v>203</v>
      </c>
      <c r="T40" s="9" t="s">
        <v>111</v>
      </c>
    </row>
    <row r="41" spans="1:20">
      <c r="A41" s="10" t="s">
        <v>752</v>
      </c>
      <c r="B41" s="11" t="s">
        <v>508</v>
      </c>
      <c r="C41" s="11" t="s">
        <v>753</v>
      </c>
      <c r="D41" s="11" t="s">
        <v>754</v>
      </c>
      <c r="E41" s="11" t="s">
        <v>675</v>
      </c>
      <c r="F41" s="11" t="s">
        <v>755</v>
      </c>
      <c r="G41" s="11" t="s">
        <v>455</v>
      </c>
      <c r="H41" s="11" t="s">
        <v>678</v>
      </c>
      <c r="I41" s="11" t="s">
        <v>442</v>
      </c>
      <c r="J41" s="11" t="s">
        <v>756</v>
      </c>
      <c r="K41" s="11" t="s">
        <v>713</v>
      </c>
      <c r="L41" s="11" t="s">
        <v>757</v>
      </c>
      <c r="M41" s="11" t="s">
        <v>276</v>
      </c>
      <c r="N41" s="11" t="s">
        <v>385</v>
      </c>
      <c r="O41" s="11" t="s">
        <v>758</v>
      </c>
      <c r="P41" s="11" t="s">
        <v>759</v>
      </c>
      <c r="Q41" s="11" t="s">
        <v>760</v>
      </c>
      <c r="R41" s="11" t="s">
        <v>121</v>
      </c>
      <c r="S41" s="11" t="s">
        <v>203</v>
      </c>
      <c r="T41" s="12" t="s">
        <v>111</v>
      </c>
    </row>
    <row r="42" spans="1:20">
      <c r="A42" s="7" t="s">
        <v>761</v>
      </c>
      <c r="B42" s="8" t="s">
        <v>450</v>
      </c>
      <c r="C42" s="8" t="s">
        <v>762</v>
      </c>
      <c r="D42" s="8" t="s">
        <v>763</v>
      </c>
      <c r="E42" s="8" t="s">
        <v>649</v>
      </c>
      <c r="F42" s="8" t="s">
        <v>764</v>
      </c>
      <c r="G42" s="8" t="s">
        <v>629</v>
      </c>
      <c r="H42" s="8" t="s">
        <v>765</v>
      </c>
      <c r="I42" s="8" t="s">
        <v>442</v>
      </c>
      <c r="J42" s="8" t="s">
        <v>766</v>
      </c>
      <c r="K42" s="8" t="s">
        <v>713</v>
      </c>
      <c r="L42" s="8" t="s">
        <v>606</v>
      </c>
      <c r="M42" s="8" t="s">
        <v>276</v>
      </c>
      <c r="N42" s="8" t="s">
        <v>385</v>
      </c>
      <c r="O42" s="8" t="s">
        <v>767</v>
      </c>
      <c r="P42" s="8" t="s">
        <v>768</v>
      </c>
      <c r="Q42" s="8" t="s">
        <v>769</v>
      </c>
      <c r="R42" s="8" t="s">
        <v>121</v>
      </c>
      <c r="S42" s="8" t="s">
        <v>203</v>
      </c>
      <c r="T42" s="9" t="s">
        <v>111</v>
      </c>
    </row>
    <row r="43" ht="28" spans="1:20">
      <c r="A43" s="10" t="s">
        <v>770</v>
      </c>
      <c r="B43" s="11" t="s">
        <v>771</v>
      </c>
      <c r="C43" s="11" t="s">
        <v>772</v>
      </c>
      <c r="D43" s="11" t="s">
        <v>773</v>
      </c>
      <c r="E43" s="11" t="s">
        <v>774</v>
      </c>
      <c r="F43" s="11" t="s">
        <v>775</v>
      </c>
      <c r="G43" s="11" t="s">
        <v>776</v>
      </c>
      <c r="H43" s="11" t="s">
        <v>777</v>
      </c>
      <c r="I43" s="11" t="s">
        <v>442</v>
      </c>
      <c r="J43" s="11" t="s">
        <v>651</v>
      </c>
      <c r="K43" s="11" t="s">
        <v>665</v>
      </c>
      <c r="L43" s="11" t="s">
        <v>778</v>
      </c>
      <c r="M43" s="11" t="s">
        <v>276</v>
      </c>
      <c r="N43" s="11" t="s">
        <v>385</v>
      </c>
      <c r="O43" s="11" t="s">
        <v>598</v>
      </c>
      <c r="P43" s="11" t="s">
        <v>599</v>
      </c>
      <c r="Q43" s="11" t="s">
        <v>600</v>
      </c>
      <c r="R43" s="11" t="s">
        <v>109</v>
      </c>
      <c r="S43" s="11" t="s">
        <v>203</v>
      </c>
      <c r="T43" s="12" t="s">
        <v>111</v>
      </c>
    </row>
    <row r="44" ht="28" spans="1:20">
      <c r="A44" s="7" t="s">
        <v>779</v>
      </c>
      <c r="B44" s="8" t="s">
        <v>771</v>
      </c>
      <c r="C44" s="8" t="s">
        <v>780</v>
      </c>
      <c r="D44" s="8" t="s">
        <v>781</v>
      </c>
      <c r="E44" s="8" t="s">
        <v>243</v>
      </c>
      <c r="F44" s="8" t="s">
        <v>782</v>
      </c>
      <c r="G44" s="8" t="s">
        <v>499</v>
      </c>
      <c r="H44" s="8" t="s">
        <v>783</v>
      </c>
      <c r="I44" s="8" t="s">
        <v>442</v>
      </c>
      <c r="J44" s="8" t="s">
        <v>784</v>
      </c>
      <c r="K44" s="8" t="s">
        <v>665</v>
      </c>
      <c r="L44" s="8" t="s">
        <v>785</v>
      </c>
      <c r="M44" s="8" t="s">
        <v>276</v>
      </c>
      <c r="N44" s="8" t="s">
        <v>385</v>
      </c>
      <c r="O44" s="8" t="s">
        <v>598</v>
      </c>
      <c r="P44" s="8" t="s">
        <v>599</v>
      </c>
      <c r="Q44" s="8" t="s">
        <v>600</v>
      </c>
      <c r="R44" s="8" t="s">
        <v>109</v>
      </c>
      <c r="S44" s="8" t="s">
        <v>203</v>
      </c>
      <c r="T44" s="9" t="s">
        <v>111</v>
      </c>
    </row>
    <row r="45" ht="28" spans="1:20">
      <c r="A45" s="10" t="s">
        <v>786</v>
      </c>
      <c r="B45" s="11" t="s">
        <v>787</v>
      </c>
      <c r="C45" s="11" t="s">
        <v>788</v>
      </c>
      <c r="D45" s="11" t="s">
        <v>789</v>
      </c>
      <c r="E45" s="11" t="s">
        <v>790</v>
      </c>
      <c r="F45" s="11" t="s">
        <v>791</v>
      </c>
      <c r="G45" s="11" t="s">
        <v>792</v>
      </c>
      <c r="H45" s="11" t="s">
        <v>793</v>
      </c>
      <c r="I45" s="11" t="s">
        <v>442</v>
      </c>
      <c r="J45" s="11" t="s">
        <v>651</v>
      </c>
      <c r="K45" s="11" t="s">
        <v>665</v>
      </c>
      <c r="L45" s="11" t="s">
        <v>794</v>
      </c>
      <c r="M45" s="11" t="s">
        <v>276</v>
      </c>
      <c r="N45" s="11" t="s">
        <v>385</v>
      </c>
      <c r="O45" s="11" t="s">
        <v>598</v>
      </c>
      <c r="P45" s="11" t="s">
        <v>599</v>
      </c>
      <c r="Q45" s="11" t="s">
        <v>600</v>
      </c>
      <c r="R45" s="11" t="s">
        <v>109</v>
      </c>
      <c r="S45" s="11" t="s">
        <v>203</v>
      </c>
      <c r="T45" s="12" t="s">
        <v>111</v>
      </c>
    </row>
    <row r="46" ht="28" spans="1:20">
      <c r="A46" s="7" t="s">
        <v>795</v>
      </c>
      <c r="B46" s="8" t="s">
        <v>796</v>
      </c>
      <c r="C46" s="8" t="s">
        <v>797</v>
      </c>
      <c r="D46" s="8" t="s">
        <v>798</v>
      </c>
      <c r="E46" s="8" t="s">
        <v>799</v>
      </c>
      <c r="F46" s="8" t="s">
        <v>800</v>
      </c>
      <c r="G46" s="8" t="s">
        <v>499</v>
      </c>
      <c r="H46" s="8" t="s">
        <v>678</v>
      </c>
      <c r="I46" s="8" t="s">
        <v>442</v>
      </c>
      <c r="J46" s="8" t="s">
        <v>784</v>
      </c>
      <c r="K46" s="8" t="s">
        <v>665</v>
      </c>
      <c r="L46" s="8" t="s">
        <v>801</v>
      </c>
      <c r="M46" s="8" t="s">
        <v>276</v>
      </c>
      <c r="N46" s="8" t="s">
        <v>385</v>
      </c>
      <c r="O46" s="8" t="s">
        <v>598</v>
      </c>
      <c r="P46" s="8" t="s">
        <v>599</v>
      </c>
      <c r="Q46" s="8" t="s">
        <v>600</v>
      </c>
      <c r="R46" s="8" t="s">
        <v>109</v>
      </c>
      <c r="S46" s="8" t="s">
        <v>203</v>
      </c>
      <c r="T46" s="9" t="s">
        <v>111</v>
      </c>
    </row>
    <row r="47" ht="28" spans="1:20">
      <c r="A47" s="10" t="s">
        <v>802</v>
      </c>
      <c r="B47" s="11" t="s">
        <v>803</v>
      </c>
      <c r="C47" s="11" t="s">
        <v>804</v>
      </c>
      <c r="D47" s="11" t="s">
        <v>805</v>
      </c>
      <c r="E47" s="11" t="s">
        <v>662</v>
      </c>
      <c r="F47" s="11" t="s">
        <v>806</v>
      </c>
      <c r="G47" s="11" t="s">
        <v>499</v>
      </c>
      <c r="H47" s="11" t="s">
        <v>807</v>
      </c>
      <c r="I47" s="11" t="s">
        <v>442</v>
      </c>
      <c r="J47" s="11" t="s">
        <v>784</v>
      </c>
      <c r="K47" s="11" t="s">
        <v>665</v>
      </c>
      <c r="L47" s="11" t="s">
        <v>672</v>
      </c>
      <c r="M47" s="11" t="s">
        <v>276</v>
      </c>
      <c r="N47" s="11" t="s">
        <v>385</v>
      </c>
      <c r="O47" s="11" t="s">
        <v>598</v>
      </c>
      <c r="P47" s="11" t="s">
        <v>599</v>
      </c>
      <c r="Q47" s="11" t="s">
        <v>600</v>
      </c>
      <c r="R47" s="11" t="s">
        <v>109</v>
      </c>
      <c r="S47" s="11" t="s">
        <v>203</v>
      </c>
      <c r="T47" s="12" t="s">
        <v>111</v>
      </c>
    </row>
    <row r="48" ht="28" spans="1:20">
      <c r="A48" s="7" t="s">
        <v>808</v>
      </c>
      <c r="B48" s="8" t="s">
        <v>787</v>
      </c>
      <c r="C48" s="8" t="s">
        <v>809</v>
      </c>
      <c r="D48" s="8" t="s">
        <v>810</v>
      </c>
      <c r="E48" s="8" t="s">
        <v>243</v>
      </c>
      <c r="F48" s="8" t="s">
        <v>811</v>
      </c>
      <c r="G48" s="8" t="s">
        <v>499</v>
      </c>
      <c r="H48" s="8" t="s">
        <v>783</v>
      </c>
      <c r="I48" s="8" t="s">
        <v>442</v>
      </c>
      <c r="J48" s="8" t="s">
        <v>784</v>
      </c>
      <c r="K48" s="8" t="s">
        <v>665</v>
      </c>
      <c r="L48" s="8" t="s">
        <v>606</v>
      </c>
      <c r="M48" s="8" t="s">
        <v>276</v>
      </c>
      <c r="N48" s="8" t="s">
        <v>385</v>
      </c>
      <c r="O48" s="8" t="s">
        <v>598</v>
      </c>
      <c r="P48" s="8" t="s">
        <v>599</v>
      </c>
      <c r="Q48" s="8" t="s">
        <v>600</v>
      </c>
      <c r="R48" s="8" t="s">
        <v>109</v>
      </c>
      <c r="S48" s="8" t="s">
        <v>203</v>
      </c>
      <c r="T48" s="9" t="s">
        <v>111</v>
      </c>
    </row>
    <row r="49" ht="28" spans="1:20">
      <c r="A49" s="13" t="s">
        <v>812</v>
      </c>
      <c r="B49" s="14" t="s">
        <v>813</v>
      </c>
      <c r="C49" s="14" t="s">
        <v>814</v>
      </c>
      <c r="D49" s="14" t="s">
        <v>815</v>
      </c>
      <c r="E49" s="14" t="s">
        <v>535</v>
      </c>
      <c r="F49" s="14" t="s">
        <v>816</v>
      </c>
      <c r="G49" s="14" t="s">
        <v>499</v>
      </c>
      <c r="H49" s="14" t="s">
        <v>664</v>
      </c>
      <c r="I49" s="14" t="s">
        <v>442</v>
      </c>
      <c r="J49" s="14" t="s">
        <v>784</v>
      </c>
      <c r="K49" s="14" t="s">
        <v>665</v>
      </c>
      <c r="L49" s="14" t="s">
        <v>817</v>
      </c>
      <c r="M49" s="14" t="s">
        <v>276</v>
      </c>
      <c r="N49" s="14" t="s">
        <v>385</v>
      </c>
      <c r="O49" s="14" t="s">
        <v>598</v>
      </c>
      <c r="P49" s="14" t="s">
        <v>599</v>
      </c>
      <c r="Q49" s="14" t="s">
        <v>600</v>
      </c>
      <c r="R49" s="14" t="s">
        <v>109</v>
      </c>
      <c r="S49" s="14" t="s">
        <v>203</v>
      </c>
      <c r="T49" s="15" t="s">
        <v>111</v>
      </c>
    </row>
  </sheetData>
  <mergeCells count="2">
    <mergeCell ref="A1:T1"/>
    <mergeCell ref="A2:T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1"/>
  <sheetViews>
    <sheetView showGridLines="0" topLeftCell="A34" workbookViewId="0">
      <selection activeCell="A1" sqref="A1:P1"/>
    </sheetView>
  </sheetViews>
  <sheetFormatPr defaultColWidth="9" defaultRowHeight="16.8"/>
  <cols>
    <col min="1" max="1" width="10" customWidth="1"/>
    <col min="2" max="2" width="30" customWidth="1"/>
    <col min="3" max="3" width="16" customWidth="1"/>
    <col min="4" max="4" width="11" customWidth="1"/>
    <col min="5" max="5" width="16" customWidth="1"/>
    <col min="6" max="6" width="13" customWidth="1"/>
    <col min="7" max="7" width="14" customWidth="1"/>
    <col min="8" max="8" width="50" customWidth="1"/>
    <col min="9" max="9" width="11" customWidth="1"/>
    <col min="10" max="10" width="14" customWidth="1"/>
    <col min="11" max="11" width="12" customWidth="1"/>
    <col min="12" max="12" width="26" customWidth="1"/>
    <col min="13" max="13" width="42" customWidth="1"/>
    <col min="14" max="14" width="16" customWidth="1"/>
    <col min="15" max="15" width="10" customWidth="1"/>
    <col min="16" max="16" width="12" customWidth="1"/>
  </cols>
  <sheetData>
    <row r="1" ht="32" customHeight="1" spans="1:16">
      <c r="A1" s="1" t="s">
        <v>818</v>
      </c>
      <c r="B1" s="1"/>
      <c r="C1" s="1"/>
      <c r="D1" s="1"/>
      <c r="E1" s="1"/>
      <c r="F1" s="1"/>
      <c r="G1" s="1"/>
      <c r="H1" s="1"/>
      <c r="I1" s="1"/>
      <c r="J1" s="1"/>
      <c r="K1" s="1"/>
      <c r="L1" s="1"/>
      <c r="M1" s="1"/>
      <c r="N1" s="1"/>
      <c r="O1" s="1"/>
      <c r="P1" s="1"/>
    </row>
    <row r="2" ht="34" customHeight="1" spans="1:16">
      <c r="A2" s="2" t="s">
        <v>819</v>
      </c>
      <c r="B2" s="2"/>
      <c r="C2" s="2"/>
      <c r="D2" s="2"/>
      <c r="E2" s="2"/>
      <c r="F2" s="2"/>
      <c r="G2" s="2"/>
      <c r="H2" s="2"/>
      <c r="I2" s="2"/>
      <c r="J2" s="2"/>
      <c r="K2" s="2"/>
      <c r="L2" s="2"/>
      <c r="M2" s="2"/>
      <c r="N2" s="2"/>
      <c r="O2" s="2"/>
      <c r="P2" s="2"/>
    </row>
    <row r="4" ht="32" customHeight="1" spans="1:16">
      <c r="A4" s="3" t="s">
        <v>78</v>
      </c>
      <c r="B4" s="3" t="s">
        <v>820</v>
      </c>
      <c r="C4" s="3" t="s">
        <v>821</v>
      </c>
      <c r="D4" s="3" t="s">
        <v>822</v>
      </c>
      <c r="E4" s="3" t="s">
        <v>823</v>
      </c>
      <c r="F4" s="3" t="s">
        <v>824</v>
      </c>
      <c r="G4" s="3" t="s">
        <v>825</v>
      </c>
      <c r="H4" s="3" t="s">
        <v>826</v>
      </c>
      <c r="I4" s="3" t="s">
        <v>88</v>
      </c>
      <c r="J4" s="3" t="s">
        <v>89</v>
      </c>
      <c r="K4" s="3" t="s">
        <v>90</v>
      </c>
      <c r="L4" s="3" t="s">
        <v>91</v>
      </c>
      <c r="M4" s="3" t="s">
        <v>372</v>
      </c>
      <c r="N4" s="3" t="s">
        <v>92</v>
      </c>
      <c r="O4" s="3" t="s">
        <v>93</v>
      </c>
      <c r="P4" s="3" t="s">
        <v>94</v>
      </c>
    </row>
    <row r="5" spans="1:16">
      <c r="A5" s="4" t="s">
        <v>827</v>
      </c>
      <c r="B5" s="5" t="s">
        <v>828</v>
      </c>
      <c r="C5" s="5" t="s">
        <v>829</v>
      </c>
      <c r="D5" s="5" t="s">
        <v>830</v>
      </c>
      <c r="E5" s="63">
        <v>199000</v>
      </c>
      <c r="F5" s="5" t="s">
        <v>831</v>
      </c>
      <c r="G5" s="5">
        <v>0.09</v>
      </c>
      <c r="H5" s="5" t="s">
        <v>832</v>
      </c>
      <c r="I5" s="5" t="s">
        <v>105</v>
      </c>
      <c r="J5" s="5" t="s">
        <v>833</v>
      </c>
      <c r="K5" s="5" t="s">
        <v>834</v>
      </c>
      <c r="L5" s="5" t="s">
        <v>835</v>
      </c>
      <c r="M5" s="5" t="s">
        <v>836</v>
      </c>
      <c r="N5" s="5" t="s">
        <v>109</v>
      </c>
      <c r="O5" s="5" t="s">
        <v>110</v>
      </c>
      <c r="P5" s="6" t="s">
        <v>111</v>
      </c>
    </row>
    <row r="6" spans="1:16">
      <c r="A6" s="7" t="s">
        <v>837</v>
      </c>
      <c r="B6" s="8" t="s">
        <v>838</v>
      </c>
      <c r="C6" s="8" t="s">
        <v>829</v>
      </c>
      <c r="D6" s="8" t="s">
        <v>830</v>
      </c>
      <c r="E6" s="64">
        <v>16700</v>
      </c>
      <c r="F6" s="8" t="s">
        <v>831</v>
      </c>
      <c r="G6" s="8">
        <v>0.91</v>
      </c>
      <c r="H6" s="8" t="s">
        <v>839</v>
      </c>
      <c r="I6" s="8" t="s">
        <v>105</v>
      </c>
      <c r="J6" s="8" t="s">
        <v>833</v>
      </c>
      <c r="K6" s="8" t="s">
        <v>834</v>
      </c>
      <c r="L6" s="8" t="s">
        <v>835</v>
      </c>
      <c r="M6" s="8" t="s">
        <v>836</v>
      </c>
      <c r="N6" s="8" t="s">
        <v>109</v>
      </c>
      <c r="O6" s="8" t="s">
        <v>110</v>
      </c>
      <c r="P6" s="9" t="s">
        <v>111</v>
      </c>
    </row>
    <row r="7" spans="1:16">
      <c r="A7" s="10" t="s">
        <v>840</v>
      </c>
      <c r="B7" s="11" t="s">
        <v>841</v>
      </c>
      <c r="C7" s="11" t="s">
        <v>842</v>
      </c>
      <c r="D7" s="11" t="s">
        <v>830</v>
      </c>
      <c r="E7" s="65"/>
      <c r="F7" s="11" t="s">
        <v>843</v>
      </c>
      <c r="G7" s="11">
        <v>1.06</v>
      </c>
      <c r="H7" s="11" t="s">
        <v>844</v>
      </c>
      <c r="I7" s="11" t="s">
        <v>105</v>
      </c>
      <c r="J7" s="11" t="s">
        <v>833</v>
      </c>
      <c r="K7" s="11" t="s">
        <v>834</v>
      </c>
      <c r="L7" s="11" t="s">
        <v>835</v>
      </c>
      <c r="M7" s="11" t="s">
        <v>836</v>
      </c>
      <c r="N7" s="11" t="s">
        <v>109</v>
      </c>
      <c r="O7" s="11" t="s">
        <v>110</v>
      </c>
      <c r="P7" s="12" t="s">
        <v>111</v>
      </c>
    </row>
    <row r="8" ht="28" spans="1:16">
      <c r="A8" s="7" t="s">
        <v>845</v>
      </c>
      <c r="B8" s="8" t="s">
        <v>846</v>
      </c>
      <c r="C8" s="8" t="s">
        <v>847</v>
      </c>
      <c r="D8" s="8" t="s">
        <v>848</v>
      </c>
      <c r="E8" s="64">
        <v>323380000</v>
      </c>
      <c r="F8" s="8" t="s">
        <v>849</v>
      </c>
      <c r="G8" s="8"/>
      <c r="H8" s="8" t="s">
        <v>850</v>
      </c>
      <c r="I8" s="8" t="s">
        <v>105</v>
      </c>
      <c r="J8" s="8" t="s">
        <v>833</v>
      </c>
      <c r="K8" s="8" t="s">
        <v>851</v>
      </c>
      <c r="L8" s="8" t="s">
        <v>852</v>
      </c>
      <c r="M8" s="8" t="s">
        <v>853</v>
      </c>
      <c r="N8" s="8" t="s">
        <v>109</v>
      </c>
      <c r="O8" s="8" t="s">
        <v>110</v>
      </c>
      <c r="P8" s="9" t="s">
        <v>111</v>
      </c>
    </row>
    <row r="9" ht="28" spans="1:16">
      <c r="A9" s="10" t="s">
        <v>854</v>
      </c>
      <c r="B9" s="11" t="s">
        <v>855</v>
      </c>
      <c r="C9" s="11" t="s">
        <v>847</v>
      </c>
      <c r="D9" s="11" t="s">
        <v>848</v>
      </c>
      <c r="E9" s="65">
        <v>223650000</v>
      </c>
      <c r="F9" s="11" t="s">
        <v>849</v>
      </c>
      <c r="G9" s="11"/>
      <c r="H9" s="11" t="s">
        <v>856</v>
      </c>
      <c r="I9" s="11" t="s">
        <v>105</v>
      </c>
      <c r="J9" s="11" t="s">
        <v>833</v>
      </c>
      <c r="K9" s="11" t="s">
        <v>851</v>
      </c>
      <c r="L9" s="11" t="s">
        <v>852</v>
      </c>
      <c r="M9" s="11" t="s">
        <v>853</v>
      </c>
      <c r="N9" s="11" t="s">
        <v>109</v>
      </c>
      <c r="O9" s="11" t="s">
        <v>110</v>
      </c>
      <c r="P9" s="12" t="s">
        <v>111</v>
      </c>
    </row>
    <row r="10" ht="28" spans="1:16">
      <c r="A10" s="7" t="s">
        <v>857</v>
      </c>
      <c r="B10" s="8" t="s">
        <v>858</v>
      </c>
      <c r="C10" s="8" t="s">
        <v>847</v>
      </c>
      <c r="D10" s="8" t="s">
        <v>859</v>
      </c>
      <c r="E10" s="64">
        <v>2124397</v>
      </c>
      <c r="F10" s="8" t="s">
        <v>849</v>
      </c>
      <c r="G10" s="8"/>
      <c r="H10" s="8" t="s">
        <v>860</v>
      </c>
      <c r="I10" s="8" t="s">
        <v>105</v>
      </c>
      <c r="J10" s="8" t="s">
        <v>833</v>
      </c>
      <c r="K10" s="8" t="s">
        <v>861</v>
      </c>
      <c r="L10" s="8" t="s">
        <v>862</v>
      </c>
      <c r="M10" s="8" t="s">
        <v>863</v>
      </c>
      <c r="N10" s="8" t="s">
        <v>109</v>
      </c>
      <c r="O10" s="8" t="s">
        <v>203</v>
      </c>
      <c r="P10" s="9" t="s">
        <v>111</v>
      </c>
    </row>
    <row r="11" ht="28" spans="1:16">
      <c r="A11" s="10" t="s">
        <v>864</v>
      </c>
      <c r="B11" s="11" t="s">
        <v>865</v>
      </c>
      <c r="C11" s="11" t="s">
        <v>866</v>
      </c>
      <c r="D11" s="11" t="s">
        <v>867</v>
      </c>
      <c r="E11" s="65">
        <v>1368</v>
      </c>
      <c r="F11" s="11" t="s">
        <v>868</v>
      </c>
      <c r="G11" s="11"/>
      <c r="H11" s="11" t="s">
        <v>869</v>
      </c>
      <c r="I11" s="11" t="s">
        <v>105</v>
      </c>
      <c r="J11" s="11" t="s">
        <v>833</v>
      </c>
      <c r="K11" s="11" t="s">
        <v>870</v>
      </c>
      <c r="L11" s="11" t="s">
        <v>871</v>
      </c>
      <c r="M11" s="11" t="s">
        <v>872</v>
      </c>
      <c r="N11" s="11" t="s">
        <v>109</v>
      </c>
      <c r="O11" s="11" t="s">
        <v>110</v>
      </c>
      <c r="P11" s="12" t="s">
        <v>111</v>
      </c>
    </row>
    <row r="12" ht="28" spans="1:16">
      <c r="A12" s="7" t="s">
        <v>873</v>
      </c>
      <c r="B12" s="8" t="s">
        <v>874</v>
      </c>
      <c r="C12" s="8" t="s">
        <v>875</v>
      </c>
      <c r="D12" s="8" t="s">
        <v>848</v>
      </c>
      <c r="E12" s="64">
        <v>740748600</v>
      </c>
      <c r="F12" s="8" t="s">
        <v>876</v>
      </c>
      <c r="G12" s="8">
        <v>0.679</v>
      </c>
      <c r="H12" s="8" t="s">
        <v>877</v>
      </c>
      <c r="I12" s="8" t="s">
        <v>105</v>
      </c>
      <c r="J12" s="8" t="s">
        <v>878</v>
      </c>
      <c r="K12" s="8" t="s">
        <v>421</v>
      </c>
      <c r="L12" s="8" t="s">
        <v>413</v>
      </c>
      <c r="M12" s="8" t="s">
        <v>422</v>
      </c>
      <c r="N12" s="8" t="s">
        <v>109</v>
      </c>
      <c r="O12" s="8" t="s">
        <v>110</v>
      </c>
      <c r="P12" s="9" t="s">
        <v>111</v>
      </c>
    </row>
    <row r="13" ht="41" spans="1:16">
      <c r="A13" s="10" t="s">
        <v>879</v>
      </c>
      <c r="B13" s="11" t="s">
        <v>147</v>
      </c>
      <c r="C13" s="11" t="s">
        <v>880</v>
      </c>
      <c r="D13" s="11" t="s">
        <v>848</v>
      </c>
      <c r="E13" s="65">
        <v>940743600</v>
      </c>
      <c r="F13" s="11" t="s">
        <v>876</v>
      </c>
      <c r="G13" s="11">
        <v>0.4376</v>
      </c>
      <c r="H13" s="11" t="s">
        <v>881</v>
      </c>
      <c r="I13" s="11" t="s">
        <v>105</v>
      </c>
      <c r="J13" s="11" t="s">
        <v>878</v>
      </c>
      <c r="K13" s="11" t="s">
        <v>146</v>
      </c>
      <c r="L13" s="11" t="s">
        <v>147</v>
      </c>
      <c r="M13" s="11" t="s">
        <v>882</v>
      </c>
      <c r="N13" s="11" t="s">
        <v>109</v>
      </c>
      <c r="O13" s="11" t="s">
        <v>110</v>
      </c>
      <c r="P13" s="12" t="s">
        <v>111</v>
      </c>
    </row>
    <row r="14" ht="28" spans="1:16">
      <c r="A14" s="7" t="s">
        <v>883</v>
      </c>
      <c r="B14" s="8" t="s">
        <v>884</v>
      </c>
      <c r="C14" s="8" t="s">
        <v>875</v>
      </c>
      <c r="D14" s="8" t="s">
        <v>848</v>
      </c>
      <c r="E14" s="64">
        <v>22245400000</v>
      </c>
      <c r="F14" s="8" t="s">
        <v>876</v>
      </c>
      <c r="G14" s="8">
        <v>0.4027</v>
      </c>
      <c r="H14" s="8" t="s">
        <v>885</v>
      </c>
      <c r="I14" s="8" t="s">
        <v>105</v>
      </c>
      <c r="J14" s="8" t="s">
        <v>878</v>
      </c>
      <c r="K14" s="8" t="s">
        <v>886</v>
      </c>
      <c r="L14" s="8" t="s">
        <v>887</v>
      </c>
      <c r="M14" s="8" t="s">
        <v>888</v>
      </c>
      <c r="N14" s="8" t="s">
        <v>109</v>
      </c>
      <c r="O14" s="8" t="s">
        <v>110</v>
      </c>
      <c r="P14" s="9" t="s">
        <v>111</v>
      </c>
    </row>
    <row r="15" ht="28" spans="1:16">
      <c r="A15" s="10" t="s">
        <v>889</v>
      </c>
      <c r="B15" s="11" t="s">
        <v>890</v>
      </c>
      <c r="C15" s="11" t="s">
        <v>875</v>
      </c>
      <c r="D15" s="11" t="s">
        <v>848</v>
      </c>
      <c r="E15" s="65">
        <v>891180000</v>
      </c>
      <c r="F15" s="11" t="s">
        <v>876</v>
      </c>
      <c r="G15" s="11">
        <v>0.3043</v>
      </c>
      <c r="H15" s="11" t="s">
        <v>891</v>
      </c>
      <c r="I15" s="11" t="s">
        <v>105</v>
      </c>
      <c r="J15" s="11" t="s">
        <v>878</v>
      </c>
      <c r="K15" s="11" t="s">
        <v>892</v>
      </c>
      <c r="L15" s="11" t="s">
        <v>893</v>
      </c>
      <c r="M15" s="11" t="s">
        <v>894</v>
      </c>
      <c r="N15" s="11" t="s">
        <v>109</v>
      </c>
      <c r="O15" s="11" t="s">
        <v>110</v>
      </c>
      <c r="P15" s="12" t="s">
        <v>111</v>
      </c>
    </row>
    <row r="16" ht="55" spans="1:16">
      <c r="A16" s="7" t="s">
        <v>895</v>
      </c>
      <c r="B16" s="8" t="s">
        <v>896</v>
      </c>
      <c r="C16" s="8" t="s">
        <v>897</v>
      </c>
      <c r="D16" s="8" t="s">
        <v>848</v>
      </c>
      <c r="E16" s="64">
        <v>1500000</v>
      </c>
      <c r="F16" s="8" t="s">
        <v>898</v>
      </c>
      <c r="G16" s="8"/>
      <c r="H16" s="8" t="s">
        <v>899</v>
      </c>
      <c r="I16" s="8" t="s">
        <v>105</v>
      </c>
      <c r="J16" s="8" t="s">
        <v>833</v>
      </c>
      <c r="K16" s="8" t="s">
        <v>900</v>
      </c>
      <c r="L16" s="8" t="s">
        <v>901</v>
      </c>
      <c r="M16" s="8" t="s">
        <v>902</v>
      </c>
      <c r="N16" s="8" t="s">
        <v>109</v>
      </c>
      <c r="O16" s="8" t="s">
        <v>110</v>
      </c>
      <c r="P16" s="9" t="s">
        <v>111</v>
      </c>
    </row>
    <row r="17" ht="28" spans="1:16">
      <c r="A17" s="10" t="s">
        <v>903</v>
      </c>
      <c r="B17" s="11" t="s">
        <v>904</v>
      </c>
      <c r="C17" s="11" t="s">
        <v>897</v>
      </c>
      <c r="D17" s="11" t="s">
        <v>905</v>
      </c>
      <c r="E17" s="65">
        <v>25000</v>
      </c>
      <c r="F17" s="11" t="s">
        <v>906</v>
      </c>
      <c r="G17" s="11"/>
      <c r="H17" s="11" t="s">
        <v>907</v>
      </c>
      <c r="I17" s="11" t="s">
        <v>105</v>
      </c>
      <c r="J17" s="11" t="s">
        <v>833</v>
      </c>
      <c r="K17" s="11" t="s">
        <v>908</v>
      </c>
      <c r="L17" s="11" t="s">
        <v>909</v>
      </c>
      <c r="M17" s="11" t="s">
        <v>910</v>
      </c>
      <c r="N17" s="11" t="s">
        <v>109</v>
      </c>
      <c r="O17" s="11" t="s">
        <v>110</v>
      </c>
      <c r="P17" s="12" t="s">
        <v>111</v>
      </c>
    </row>
    <row r="18" ht="28" spans="1:16">
      <c r="A18" s="7" t="s">
        <v>911</v>
      </c>
      <c r="B18" s="8" t="s">
        <v>846</v>
      </c>
      <c r="C18" s="8" t="s">
        <v>912</v>
      </c>
      <c r="D18" s="8">
        <v>2025</v>
      </c>
      <c r="E18" s="64">
        <v>32338</v>
      </c>
      <c r="F18" s="8" t="s">
        <v>913</v>
      </c>
      <c r="G18" s="8"/>
      <c r="H18" s="8" t="s">
        <v>914</v>
      </c>
      <c r="I18" s="8" t="s">
        <v>276</v>
      </c>
      <c r="J18" s="8" t="s">
        <v>833</v>
      </c>
      <c r="K18" s="8" t="s">
        <v>915</v>
      </c>
      <c r="L18" s="8" t="s">
        <v>852</v>
      </c>
      <c r="M18" s="8" t="s">
        <v>916</v>
      </c>
      <c r="N18" s="8" t="s">
        <v>109</v>
      </c>
      <c r="O18" s="8" t="s">
        <v>110</v>
      </c>
      <c r="P18" s="9" t="s">
        <v>111</v>
      </c>
    </row>
    <row r="19" ht="28" spans="1:16">
      <c r="A19" s="10" t="s">
        <v>917</v>
      </c>
      <c r="B19" s="11" t="s">
        <v>918</v>
      </c>
      <c r="C19" s="11" t="s">
        <v>912</v>
      </c>
      <c r="D19" s="11">
        <v>2025</v>
      </c>
      <c r="E19" s="65">
        <v>0.23</v>
      </c>
      <c r="F19" s="11" t="s">
        <v>919</v>
      </c>
      <c r="G19" s="11" t="s">
        <v>920</v>
      </c>
      <c r="H19" s="11" t="s">
        <v>921</v>
      </c>
      <c r="I19" s="11" t="s">
        <v>276</v>
      </c>
      <c r="J19" s="11" t="s">
        <v>833</v>
      </c>
      <c r="K19" s="11" t="s">
        <v>915</v>
      </c>
      <c r="L19" s="11" t="s">
        <v>852</v>
      </c>
      <c r="M19" s="11" t="s">
        <v>916</v>
      </c>
      <c r="N19" s="11" t="s">
        <v>109</v>
      </c>
      <c r="O19" s="11" t="s">
        <v>110</v>
      </c>
      <c r="P19" s="12" t="s">
        <v>111</v>
      </c>
    </row>
    <row r="20" spans="1:16">
      <c r="A20" s="7" t="s">
        <v>922</v>
      </c>
      <c r="B20" s="8" t="s">
        <v>923</v>
      </c>
      <c r="C20" s="8" t="s">
        <v>912</v>
      </c>
      <c r="D20" s="8">
        <v>2024</v>
      </c>
      <c r="E20" s="64">
        <v>18786.34</v>
      </c>
      <c r="F20" s="8" t="s">
        <v>913</v>
      </c>
      <c r="G20" s="8"/>
      <c r="H20" s="8" t="s">
        <v>924</v>
      </c>
      <c r="I20" s="8" t="s">
        <v>276</v>
      </c>
      <c r="J20" s="8" t="s">
        <v>833</v>
      </c>
      <c r="K20" s="8" t="s">
        <v>925</v>
      </c>
      <c r="L20" s="8" t="s">
        <v>926</v>
      </c>
      <c r="M20" s="8" t="s">
        <v>927</v>
      </c>
      <c r="N20" s="8" t="s">
        <v>109</v>
      </c>
      <c r="O20" s="8" t="s">
        <v>110</v>
      </c>
      <c r="P20" s="9" t="s">
        <v>111</v>
      </c>
    </row>
    <row r="21" spans="1:16">
      <c r="A21" s="10" t="s">
        <v>928</v>
      </c>
      <c r="B21" s="11" t="s">
        <v>929</v>
      </c>
      <c r="C21" s="11" t="s">
        <v>912</v>
      </c>
      <c r="D21" s="11">
        <v>2024</v>
      </c>
      <c r="E21" s="65">
        <v>146.25</v>
      </c>
      <c r="F21" s="11" t="s">
        <v>913</v>
      </c>
      <c r="G21" s="11"/>
      <c r="H21" s="11" t="s">
        <v>930</v>
      </c>
      <c r="I21" s="11" t="s">
        <v>276</v>
      </c>
      <c r="J21" s="11" t="s">
        <v>833</v>
      </c>
      <c r="K21" s="11" t="s">
        <v>925</v>
      </c>
      <c r="L21" s="11" t="s">
        <v>926</v>
      </c>
      <c r="M21" s="11" t="s">
        <v>927</v>
      </c>
      <c r="N21" s="11" t="s">
        <v>109</v>
      </c>
      <c r="O21" s="11" t="s">
        <v>110</v>
      </c>
      <c r="P21" s="12" t="s">
        <v>111</v>
      </c>
    </row>
    <row r="22" spans="1:16">
      <c r="A22" s="7" t="s">
        <v>931</v>
      </c>
      <c r="B22" s="8" t="s">
        <v>932</v>
      </c>
      <c r="C22" s="8" t="s">
        <v>912</v>
      </c>
      <c r="D22" s="8">
        <v>2024</v>
      </c>
      <c r="E22" s="64">
        <v>279.6</v>
      </c>
      <c r="F22" s="8" t="s">
        <v>933</v>
      </c>
      <c r="G22" s="8"/>
      <c r="H22" s="8" t="s">
        <v>934</v>
      </c>
      <c r="I22" s="8" t="s">
        <v>276</v>
      </c>
      <c r="J22" s="8" t="s">
        <v>833</v>
      </c>
      <c r="K22" s="8" t="s">
        <v>925</v>
      </c>
      <c r="L22" s="8" t="s">
        <v>926</v>
      </c>
      <c r="M22" s="8" t="s">
        <v>927</v>
      </c>
      <c r="N22" s="8" t="s">
        <v>109</v>
      </c>
      <c r="O22" s="8" t="s">
        <v>110</v>
      </c>
      <c r="P22" s="9" t="s">
        <v>111</v>
      </c>
    </row>
    <row r="23" spans="1:16">
      <c r="A23" s="10" t="s">
        <v>935</v>
      </c>
      <c r="B23" s="11" t="s">
        <v>936</v>
      </c>
      <c r="C23" s="11" t="s">
        <v>912</v>
      </c>
      <c r="D23" s="11">
        <v>2024</v>
      </c>
      <c r="E23" s="65">
        <v>131.08</v>
      </c>
      <c r="F23" s="11" t="s">
        <v>933</v>
      </c>
      <c r="G23" s="11"/>
      <c r="H23" s="11" t="s">
        <v>934</v>
      </c>
      <c r="I23" s="11" t="s">
        <v>276</v>
      </c>
      <c r="J23" s="11" t="s">
        <v>833</v>
      </c>
      <c r="K23" s="11" t="s">
        <v>925</v>
      </c>
      <c r="L23" s="11" t="s">
        <v>926</v>
      </c>
      <c r="M23" s="11" t="s">
        <v>927</v>
      </c>
      <c r="N23" s="11" t="s">
        <v>109</v>
      </c>
      <c r="O23" s="11" t="s">
        <v>110</v>
      </c>
      <c r="P23" s="12" t="s">
        <v>111</v>
      </c>
    </row>
    <row r="24" spans="1:16">
      <c r="A24" s="7" t="s">
        <v>937</v>
      </c>
      <c r="B24" s="8" t="s">
        <v>938</v>
      </c>
      <c r="C24" s="8" t="s">
        <v>912</v>
      </c>
      <c r="D24" s="8">
        <v>2024</v>
      </c>
      <c r="E24" s="64">
        <v>8837</v>
      </c>
      <c r="F24" s="8" t="s">
        <v>939</v>
      </c>
      <c r="G24" s="8"/>
      <c r="H24" s="8" t="s">
        <v>934</v>
      </c>
      <c r="I24" s="8" t="s">
        <v>276</v>
      </c>
      <c r="J24" s="8" t="s">
        <v>833</v>
      </c>
      <c r="K24" s="8" t="s">
        <v>925</v>
      </c>
      <c r="L24" s="8" t="s">
        <v>926</v>
      </c>
      <c r="M24" s="8" t="s">
        <v>927</v>
      </c>
      <c r="N24" s="8" t="s">
        <v>109</v>
      </c>
      <c r="O24" s="8" t="s">
        <v>110</v>
      </c>
      <c r="P24" s="9" t="s">
        <v>111</v>
      </c>
    </row>
    <row r="25" spans="1:16">
      <c r="A25" s="10" t="s">
        <v>940</v>
      </c>
      <c r="B25" s="11" t="s">
        <v>941</v>
      </c>
      <c r="C25" s="11" t="s">
        <v>912</v>
      </c>
      <c r="D25" s="11">
        <v>2024</v>
      </c>
      <c r="E25" s="65">
        <v>29.28</v>
      </c>
      <c r="F25" s="11" t="s">
        <v>913</v>
      </c>
      <c r="G25" s="11"/>
      <c r="H25" s="11" t="s">
        <v>934</v>
      </c>
      <c r="I25" s="11" t="s">
        <v>276</v>
      </c>
      <c r="J25" s="11" t="s">
        <v>833</v>
      </c>
      <c r="K25" s="11" t="s">
        <v>925</v>
      </c>
      <c r="L25" s="11" t="s">
        <v>926</v>
      </c>
      <c r="M25" s="11" t="s">
        <v>927</v>
      </c>
      <c r="N25" s="11" t="s">
        <v>109</v>
      </c>
      <c r="O25" s="11" t="s">
        <v>110</v>
      </c>
      <c r="P25" s="12" t="s">
        <v>111</v>
      </c>
    </row>
    <row r="26" ht="28" spans="1:16">
      <c r="A26" s="7" t="s">
        <v>942</v>
      </c>
      <c r="B26" s="8" t="s">
        <v>943</v>
      </c>
      <c r="C26" s="8" t="s">
        <v>944</v>
      </c>
      <c r="D26" s="8">
        <v>2024</v>
      </c>
      <c r="E26" s="64">
        <v>199900</v>
      </c>
      <c r="F26" s="8" t="s">
        <v>831</v>
      </c>
      <c r="G26" s="8">
        <v>0.09</v>
      </c>
      <c r="H26" s="8" t="s">
        <v>945</v>
      </c>
      <c r="I26" s="8" t="s">
        <v>276</v>
      </c>
      <c r="J26" s="8" t="s">
        <v>946</v>
      </c>
      <c r="K26" s="8" t="s">
        <v>947</v>
      </c>
      <c r="L26" s="8" t="s">
        <v>948</v>
      </c>
      <c r="M26" s="8" t="s">
        <v>949</v>
      </c>
      <c r="N26" s="8" t="s">
        <v>109</v>
      </c>
      <c r="O26" s="8" t="s">
        <v>110</v>
      </c>
      <c r="P26" s="9" t="s">
        <v>111</v>
      </c>
    </row>
    <row r="27" ht="28" spans="1:16">
      <c r="A27" s="10" t="s">
        <v>950</v>
      </c>
      <c r="B27" s="11" t="s">
        <v>951</v>
      </c>
      <c r="C27" s="11" t="s">
        <v>944</v>
      </c>
      <c r="D27" s="11">
        <v>2024</v>
      </c>
      <c r="E27" s="65">
        <v>16700</v>
      </c>
      <c r="F27" s="11" t="s">
        <v>831</v>
      </c>
      <c r="G27" s="11">
        <v>0.91</v>
      </c>
      <c r="H27" s="11" t="s">
        <v>952</v>
      </c>
      <c r="I27" s="11" t="s">
        <v>276</v>
      </c>
      <c r="J27" s="11" t="s">
        <v>946</v>
      </c>
      <c r="K27" s="11" t="s">
        <v>947</v>
      </c>
      <c r="L27" s="11" t="s">
        <v>948</v>
      </c>
      <c r="M27" s="11" t="s">
        <v>949</v>
      </c>
      <c r="N27" s="11" t="s">
        <v>109</v>
      </c>
      <c r="O27" s="11" t="s">
        <v>110</v>
      </c>
      <c r="P27" s="12" t="s">
        <v>111</v>
      </c>
    </row>
    <row r="28" ht="28" spans="1:16">
      <c r="A28" s="7" t="s">
        <v>953</v>
      </c>
      <c r="B28" s="8" t="s">
        <v>954</v>
      </c>
      <c r="C28" s="8" t="s">
        <v>944</v>
      </c>
      <c r="D28" s="8">
        <v>2024</v>
      </c>
      <c r="E28" s="64">
        <v>1.06</v>
      </c>
      <c r="F28" s="8" t="s">
        <v>919</v>
      </c>
      <c r="G28" s="8">
        <v>1.06</v>
      </c>
      <c r="H28" s="8" t="s">
        <v>955</v>
      </c>
      <c r="I28" s="8" t="s">
        <v>276</v>
      </c>
      <c r="J28" s="8" t="s">
        <v>946</v>
      </c>
      <c r="K28" s="8" t="s">
        <v>947</v>
      </c>
      <c r="L28" s="8" t="s">
        <v>948</v>
      </c>
      <c r="M28" s="8" t="s">
        <v>949</v>
      </c>
      <c r="N28" s="8" t="s">
        <v>109</v>
      </c>
      <c r="O28" s="8" t="s">
        <v>110</v>
      </c>
      <c r="P28" s="9" t="s">
        <v>111</v>
      </c>
    </row>
    <row r="29" ht="28" spans="1:16">
      <c r="A29" s="10" t="s">
        <v>956</v>
      </c>
      <c r="B29" s="11" t="s">
        <v>957</v>
      </c>
      <c r="C29" s="11" t="s">
        <v>944</v>
      </c>
      <c r="D29" s="11">
        <v>2024</v>
      </c>
      <c r="E29" s="65">
        <v>536</v>
      </c>
      <c r="F29" s="11" t="s">
        <v>831</v>
      </c>
      <c r="G29" s="11"/>
      <c r="H29" s="11" t="s">
        <v>958</v>
      </c>
      <c r="I29" s="11" t="s">
        <v>276</v>
      </c>
      <c r="J29" s="11" t="s">
        <v>946</v>
      </c>
      <c r="K29" s="11" t="s">
        <v>947</v>
      </c>
      <c r="L29" s="11" t="s">
        <v>948</v>
      </c>
      <c r="M29" s="11" t="s">
        <v>949</v>
      </c>
      <c r="N29" s="11" t="s">
        <v>109</v>
      </c>
      <c r="O29" s="11" t="s">
        <v>110</v>
      </c>
      <c r="P29" s="12" t="s">
        <v>111</v>
      </c>
    </row>
    <row r="30" ht="28" spans="1:16">
      <c r="A30" s="7" t="s">
        <v>959</v>
      </c>
      <c r="B30" s="8" t="s">
        <v>960</v>
      </c>
      <c r="C30" s="8" t="s">
        <v>944</v>
      </c>
      <c r="D30" s="8">
        <v>2024</v>
      </c>
      <c r="E30" s="64">
        <v>0.31</v>
      </c>
      <c r="F30" s="8" t="s">
        <v>919</v>
      </c>
      <c r="G30" s="8">
        <v>0.31</v>
      </c>
      <c r="H30" s="8" t="s">
        <v>961</v>
      </c>
      <c r="I30" s="8" t="s">
        <v>276</v>
      </c>
      <c r="J30" s="8" t="s">
        <v>946</v>
      </c>
      <c r="K30" s="8" t="s">
        <v>947</v>
      </c>
      <c r="L30" s="8" t="s">
        <v>948</v>
      </c>
      <c r="M30" s="8" t="s">
        <v>949</v>
      </c>
      <c r="N30" s="8" t="s">
        <v>109</v>
      </c>
      <c r="O30" s="8" t="s">
        <v>110</v>
      </c>
      <c r="P30" s="9" t="s">
        <v>111</v>
      </c>
    </row>
    <row r="31" ht="28" spans="1:16">
      <c r="A31" s="10" t="s">
        <v>962</v>
      </c>
      <c r="B31" s="11" t="s">
        <v>963</v>
      </c>
      <c r="C31" s="11" t="s">
        <v>944</v>
      </c>
      <c r="D31" s="11">
        <v>2024</v>
      </c>
      <c r="E31" s="65">
        <v>102900</v>
      </c>
      <c r="F31" s="11" t="s">
        <v>831</v>
      </c>
      <c r="G31" s="11">
        <v>0.14</v>
      </c>
      <c r="H31" s="11" t="s">
        <v>964</v>
      </c>
      <c r="I31" s="11" t="s">
        <v>276</v>
      </c>
      <c r="J31" s="11" t="s">
        <v>946</v>
      </c>
      <c r="K31" s="11" t="s">
        <v>947</v>
      </c>
      <c r="L31" s="11" t="s">
        <v>948</v>
      </c>
      <c r="M31" s="11" t="s">
        <v>949</v>
      </c>
      <c r="N31" s="11" t="s">
        <v>109</v>
      </c>
      <c r="O31" s="11" t="s">
        <v>110</v>
      </c>
      <c r="P31" s="12" t="s">
        <v>111</v>
      </c>
    </row>
    <row r="32" ht="28" spans="1:16">
      <c r="A32" s="7" t="s">
        <v>965</v>
      </c>
      <c r="B32" s="8" t="s">
        <v>966</v>
      </c>
      <c r="C32" s="8" t="s">
        <v>944</v>
      </c>
      <c r="D32" s="8">
        <v>2024</v>
      </c>
      <c r="E32" s="64">
        <v>42000</v>
      </c>
      <c r="F32" s="8" t="s">
        <v>831</v>
      </c>
      <c r="G32" s="8">
        <v>-0.11</v>
      </c>
      <c r="H32" s="8" t="s">
        <v>967</v>
      </c>
      <c r="I32" s="8" t="s">
        <v>276</v>
      </c>
      <c r="J32" s="8" t="s">
        <v>946</v>
      </c>
      <c r="K32" s="8" t="s">
        <v>947</v>
      </c>
      <c r="L32" s="8" t="s">
        <v>948</v>
      </c>
      <c r="M32" s="8" t="s">
        <v>949</v>
      </c>
      <c r="N32" s="8" t="s">
        <v>109</v>
      </c>
      <c r="O32" s="8" t="s">
        <v>110</v>
      </c>
      <c r="P32" s="9" t="s">
        <v>111</v>
      </c>
    </row>
    <row r="33" ht="28" spans="1:16">
      <c r="A33" s="10" t="s">
        <v>968</v>
      </c>
      <c r="B33" s="11" t="s">
        <v>969</v>
      </c>
      <c r="C33" s="11" t="s">
        <v>944</v>
      </c>
      <c r="D33" s="11">
        <v>2024</v>
      </c>
      <c r="E33" s="65">
        <v>25000</v>
      </c>
      <c r="F33" s="11" t="s">
        <v>831</v>
      </c>
      <c r="G33" s="11">
        <v>0.34</v>
      </c>
      <c r="H33" s="11" t="s">
        <v>970</v>
      </c>
      <c r="I33" s="11" t="s">
        <v>276</v>
      </c>
      <c r="J33" s="11" t="s">
        <v>946</v>
      </c>
      <c r="K33" s="11" t="s">
        <v>947</v>
      </c>
      <c r="L33" s="11" t="s">
        <v>948</v>
      </c>
      <c r="M33" s="11" t="s">
        <v>949</v>
      </c>
      <c r="N33" s="11" t="s">
        <v>109</v>
      </c>
      <c r="O33" s="11" t="s">
        <v>110</v>
      </c>
      <c r="P33" s="12" t="s">
        <v>111</v>
      </c>
    </row>
    <row r="34" ht="28" spans="1:16">
      <c r="A34" s="7" t="s">
        <v>971</v>
      </c>
      <c r="B34" s="8" t="s">
        <v>972</v>
      </c>
      <c r="C34" s="8" t="s">
        <v>973</v>
      </c>
      <c r="D34" s="8">
        <v>2029</v>
      </c>
      <c r="E34" s="64">
        <v>159</v>
      </c>
      <c r="F34" s="8" t="s">
        <v>933</v>
      </c>
      <c r="G34" s="8"/>
      <c r="H34" s="8" t="s">
        <v>974</v>
      </c>
      <c r="I34" s="8" t="s">
        <v>276</v>
      </c>
      <c r="J34" s="8" t="s">
        <v>946</v>
      </c>
      <c r="K34" s="8" t="s">
        <v>607</v>
      </c>
      <c r="L34" s="8" t="s">
        <v>608</v>
      </c>
      <c r="M34" s="8" t="s">
        <v>609</v>
      </c>
      <c r="N34" s="8" t="s">
        <v>121</v>
      </c>
      <c r="O34" s="8" t="s">
        <v>203</v>
      </c>
      <c r="P34" s="9" t="s">
        <v>111</v>
      </c>
    </row>
    <row r="35" ht="28" spans="1:16">
      <c r="A35" s="10" t="s">
        <v>975</v>
      </c>
      <c r="B35" s="11" t="s">
        <v>972</v>
      </c>
      <c r="C35" s="11" t="s">
        <v>973</v>
      </c>
      <c r="D35" s="11">
        <v>2035</v>
      </c>
      <c r="E35" s="65">
        <v>610</v>
      </c>
      <c r="F35" s="11" t="s">
        <v>933</v>
      </c>
      <c r="G35" s="11"/>
      <c r="H35" s="11" t="s">
        <v>976</v>
      </c>
      <c r="I35" s="11" t="s">
        <v>276</v>
      </c>
      <c r="J35" s="11" t="s">
        <v>946</v>
      </c>
      <c r="K35" s="11" t="s">
        <v>607</v>
      </c>
      <c r="L35" s="11" t="s">
        <v>608</v>
      </c>
      <c r="M35" s="11" t="s">
        <v>609</v>
      </c>
      <c r="N35" s="11" t="s">
        <v>121</v>
      </c>
      <c r="O35" s="11" t="s">
        <v>110</v>
      </c>
      <c r="P35" s="12" t="s">
        <v>111</v>
      </c>
    </row>
    <row r="36" ht="28" spans="1:16">
      <c r="A36" s="7" t="s">
        <v>977</v>
      </c>
      <c r="B36" s="8" t="s">
        <v>978</v>
      </c>
      <c r="C36" s="8" t="s">
        <v>979</v>
      </c>
      <c r="D36" s="8">
        <v>2025</v>
      </c>
      <c r="E36" s="64">
        <v>50</v>
      </c>
      <c r="F36" s="8" t="s">
        <v>980</v>
      </c>
      <c r="G36" s="8"/>
      <c r="H36" s="8" t="s">
        <v>981</v>
      </c>
      <c r="I36" s="8" t="s">
        <v>276</v>
      </c>
      <c r="J36" s="8" t="s">
        <v>833</v>
      </c>
      <c r="K36" s="8" t="s">
        <v>982</v>
      </c>
      <c r="L36" s="8" t="s">
        <v>983</v>
      </c>
      <c r="M36" s="8" t="s">
        <v>984</v>
      </c>
      <c r="N36" s="8" t="s">
        <v>109</v>
      </c>
      <c r="O36" s="8" t="s">
        <v>110</v>
      </c>
      <c r="P36" s="9" t="s">
        <v>111</v>
      </c>
    </row>
    <row r="37" ht="28" spans="1:16">
      <c r="A37" s="10" t="s">
        <v>985</v>
      </c>
      <c r="B37" s="11" t="s">
        <v>986</v>
      </c>
      <c r="C37" s="11" t="s">
        <v>987</v>
      </c>
      <c r="D37" s="11">
        <v>2025</v>
      </c>
      <c r="E37" s="65">
        <v>300</v>
      </c>
      <c r="F37" s="11" t="s">
        <v>980</v>
      </c>
      <c r="G37" s="11"/>
      <c r="H37" s="11" t="s">
        <v>988</v>
      </c>
      <c r="I37" s="11" t="s">
        <v>276</v>
      </c>
      <c r="J37" s="11" t="s">
        <v>833</v>
      </c>
      <c r="K37" s="11" t="s">
        <v>989</v>
      </c>
      <c r="L37" s="11" t="s">
        <v>108</v>
      </c>
      <c r="M37" s="11" t="s">
        <v>990</v>
      </c>
      <c r="N37" s="11" t="s">
        <v>121</v>
      </c>
      <c r="O37" s="11" t="s">
        <v>110</v>
      </c>
      <c r="P37" s="12" t="s">
        <v>111</v>
      </c>
    </row>
    <row r="38" ht="28" spans="1:16">
      <c r="A38" s="7" t="s">
        <v>991</v>
      </c>
      <c r="B38" s="8" t="s">
        <v>992</v>
      </c>
      <c r="C38" s="8" t="s">
        <v>993</v>
      </c>
      <c r="D38" s="8">
        <v>2025</v>
      </c>
      <c r="E38" s="64">
        <v>10</v>
      </c>
      <c r="F38" s="8" t="s">
        <v>933</v>
      </c>
      <c r="G38" s="8"/>
      <c r="H38" s="8" t="s">
        <v>994</v>
      </c>
      <c r="I38" s="8" t="s">
        <v>276</v>
      </c>
      <c r="J38" s="8" t="s">
        <v>946</v>
      </c>
      <c r="K38" s="8" t="s">
        <v>995</v>
      </c>
      <c r="L38" s="8" t="s">
        <v>996</v>
      </c>
      <c r="M38" s="8" t="s">
        <v>997</v>
      </c>
      <c r="N38" s="8" t="s">
        <v>109</v>
      </c>
      <c r="O38" s="8" t="s">
        <v>203</v>
      </c>
      <c r="P38" s="9" t="s">
        <v>111</v>
      </c>
    </row>
    <row r="39" ht="28" spans="1:16">
      <c r="A39" s="10" t="s">
        <v>998</v>
      </c>
      <c r="B39" s="11" t="s">
        <v>999</v>
      </c>
      <c r="C39" s="11" t="s">
        <v>1000</v>
      </c>
      <c r="D39" s="11">
        <v>2025</v>
      </c>
      <c r="E39" s="65">
        <v>100</v>
      </c>
      <c r="F39" s="11" t="s">
        <v>933</v>
      </c>
      <c r="G39" s="11"/>
      <c r="H39" s="11" t="s">
        <v>1001</v>
      </c>
      <c r="I39" s="11" t="s">
        <v>276</v>
      </c>
      <c r="J39" s="11" t="s">
        <v>833</v>
      </c>
      <c r="K39" s="11" t="s">
        <v>995</v>
      </c>
      <c r="L39" s="11" t="s">
        <v>996</v>
      </c>
      <c r="M39" s="11" t="s">
        <v>997</v>
      </c>
      <c r="N39" s="11" t="s">
        <v>109</v>
      </c>
      <c r="O39" s="11" t="s">
        <v>203</v>
      </c>
      <c r="P39" s="12" t="s">
        <v>111</v>
      </c>
    </row>
    <row r="40" ht="28" spans="1:16">
      <c r="A40" s="7" t="s">
        <v>1002</v>
      </c>
      <c r="B40" s="8" t="s">
        <v>1003</v>
      </c>
      <c r="C40" s="8" t="s">
        <v>1004</v>
      </c>
      <c r="D40" s="8">
        <v>2026</v>
      </c>
      <c r="E40" s="64">
        <v>54.5</v>
      </c>
      <c r="F40" s="8" t="s">
        <v>1005</v>
      </c>
      <c r="G40" s="8"/>
      <c r="H40" s="8" t="s">
        <v>1006</v>
      </c>
      <c r="I40" s="8" t="s">
        <v>276</v>
      </c>
      <c r="J40" s="8" t="s">
        <v>833</v>
      </c>
      <c r="K40" s="8" t="s">
        <v>1007</v>
      </c>
      <c r="L40" s="8" t="s">
        <v>909</v>
      </c>
      <c r="M40" s="8" t="s">
        <v>1008</v>
      </c>
      <c r="N40" s="8" t="s">
        <v>109</v>
      </c>
      <c r="O40" s="8" t="s">
        <v>110</v>
      </c>
      <c r="P40" s="9" t="s">
        <v>111</v>
      </c>
    </row>
    <row r="41" ht="68" spans="1:16">
      <c r="A41" s="13" t="s">
        <v>1009</v>
      </c>
      <c r="B41" s="14" t="s">
        <v>1010</v>
      </c>
      <c r="C41" s="14" t="s">
        <v>1011</v>
      </c>
      <c r="D41" s="14">
        <v>2023</v>
      </c>
      <c r="E41" s="66">
        <v>235</v>
      </c>
      <c r="F41" s="14" t="s">
        <v>1005</v>
      </c>
      <c r="G41" s="14"/>
      <c r="H41" s="14" t="s">
        <v>1012</v>
      </c>
      <c r="I41" s="14" t="s">
        <v>276</v>
      </c>
      <c r="J41" s="14" t="s">
        <v>946</v>
      </c>
      <c r="K41" s="14" t="s">
        <v>1013</v>
      </c>
      <c r="L41" s="14" t="s">
        <v>1014</v>
      </c>
      <c r="M41" s="14" t="s">
        <v>1015</v>
      </c>
      <c r="N41" s="14" t="s">
        <v>109</v>
      </c>
      <c r="O41" s="14" t="s">
        <v>110</v>
      </c>
      <c r="P41" s="15" t="s">
        <v>111</v>
      </c>
    </row>
  </sheetData>
  <mergeCells count="2">
    <mergeCell ref="A1:P1"/>
    <mergeCell ref="A2:P2"/>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4"/>
  <sheetViews>
    <sheetView showGridLines="0" topLeftCell="A24" workbookViewId="0">
      <selection activeCell="A1" sqref="A1:R1"/>
    </sheetView>
  </sheetViews>
  <sheetFormatPr defaultColWidth="9" defaultRowHeight="16.8"/>
  <cols>
    <col min="1" max="1" width="10" customWidth="1"/>
    <col min="2" max="2" width="12" customWidth="1"/>
    <col min="3" max="3" width="25" customWidth="1"/>
    <col min="4" max="4" width="35" customWidth="1"/>
    <col min="5" max="5" width="9" customWidth="1"/>
    <col min="6" max="6" width="12" customWidth="1"/>
    <col min="7" max="7" width="32" customWidth="1"/>
    <col min="8" max="8" width="14" customWidth="1"/>
    <col min="9" max="9" width="30" customWidth="1"/>
    <col min="10" max="10" width="28" customWidth="1"/>
    <col min="11" max="11" width="11" customWidth="1"/>
    <col min="12" max="12" width="14" customWidth="1"/>
    <col min="13" max="13" width="12" customWidth="1"/>
    <col min="14" max="14" width="25" customWidth="1"/>
    <col min="15" max="15" width="42" customWidth="1"/>
    <col min="16" max="16" width="16" customWidth="1"/>
    <col min="17" max="17" width="10" customWidth="1"/>
    <col min="18" max="18" width="12" customWidth="1"/>
  </cols>
  <sheetData>
    <row r="1" ht="32" customHeight="1" spans="1:18">
      <c r="A1" s="1" t="s">
        <v>1016</v>
      </c>
      <c r="B1" s="1"/>
      <c r="C1" s="1"/>
      <c r="D1" s="1"/>
      <c r="E1" s="1"/>
      <c r="F1" s="1"/>
      <c r="G1" s="1"/>
      <c r="H1" s="1"/>
      <c r="I1" s="1"/>
      <c r="J1" s="1"/>
      <c r="K1" s="1"/>
      <c r="L1" s="1"/>
      <c r="M1" s="1"/>
      <c r="N1" s="1"/>
      <c r="O1" s="1"/>
      <c r="P1" s="1"/>
      <c r="Q1" s="1"/>
      <c r="R1" s="1"/>
    </row>
    <row r="2" ht="34" customHeight="1" spans="1:18">
      <c r="A2" s="2" t="s">
        <v>1017</v>
      </c>
      <c r="B2" s="2"/>
      <c r="C2" s="2"/>
      <c r="D2" s="2"/>
      <c r="E2" s="2"/>
      <c r="F2" s="2"/>
      <c r="G2" s="2"/>
      <c r="H2" s="2"/>
      <c r="I2" s="2"/>
      <c r="J2" s="2"/>
      <c r="K2" s="2"/>
      <c r="L2" s="2"/>
      <c r="M2" s="2"/>
      <c r="N2" s="2"/>
      <c r="O2" s="2"/>
      <c r="P2" s="2"/>
      <c r="Q2" s="2"/>
      <c r="R2" s="2"/>
    </row>
    <row r="4" ht="32" customHeight="1" spans="1:18">
      <c r="A4" s="3" t="s">
        <v>78</v>
      </c>
      <c r="B4" s="3" t="s">
        <v>1018</v>
      </c>
      <c r="C4" s="3" t="s">
        <v>1019</v>
      </c>
      <c r="D4" s="3" t="s">
        <v>1020</v>
      </c>
      <c r="E4" s="3" t="s">
        <v>1021</v>
      </c>
      <c r="F4" s="3" t="s">
        <v>1022</v>
      </c>
      <c r="G4" s="3" t="s">
        <v>1023</v>
      </c>
      <c r="H4" s="3" t="s">
        <v>1024</v>
      </c>
      <c r="I4" s="3" t="s">
        <v>82</v>
      </c>
      <c r="J4" s="3" t="s">
        <v>1025</v>
      </c>
      <c r="K4" s="3" t="s">
        <v>88</v>
      </c>
      <c r="L4" s="3" t="s">
        <v>89</v>
      </c>
      <c r="M4" s="3" t="s">
        <v>90</v>
      </c>
      <c r="N4" s="3" t="s">
        <v>91</v>
      </c>
      <c r="O4" s="3" t="s">
        <v>372</v>
      </c>
      <c r="P4" s="3" t="s">
        <v>92</v>
      </c>
      <c r="Q4" s="3" t="s">
        <v>93</v>
      </c>
      <c r="R4" s="3" t="s">
        <v>94</v>
      </c>
    </row>
    <row r="5" ht="68" spans="1:18">
      <c r="A5" s="4" t="s">
        <v>1026</v>
      </c>
      <c r="B5" s="5" t="s">
        <v>1027</v>
      </c>
      <c r="C5" s="5" t="s">
        <v>1028</v>
      </c>
      <c r="D5" s="5" t="s">
        <v>1029</v>
      </c>
      <c r="E5" s="5" t="s">
        <v>1030</v>
      </c>
      <c r="F5" s="5" t="s">
        <v>101</v>
      </c>
      <c r="G5" s="5" t="s">
        <v>1031</v>
      </c>
      <c r="H5" s="5" t="s">
        <v>1032</v>
      </c>
      <c r="I5" s="5" t="s">
        <v>1033</v>
      </c>
      <c r="J5" s="5" t="s">
        <v>1034</v>
      </c>
      <c r="K5" s="5" t="s">
        <v>105</v>
      </c>
      <c r="L5" s="5" t="s">
        <v>1035</v>
      </c>
      <c r="M5" s="5" t="s">
        <v>1036</v>
      </c>
      <c r="N5" s="5" t="s">
        <v>1037</v>
      </c>
      <c r="O5" s="5" t="s">
        <v>1038</v>
      </c>
      <c r="P5" s="5" t="s">
        <v>109</v>
      </c>
      <c r="Q5" s="5" t="s">
        <v>110</v>
      </c>
      <c r="R5" s="6" t="s">
        <v>111</v>
      </c>
    </row>
    <row r="6" ht="41" spans="1:18">
      <c r="A6" s="7" t="s">
        <v>1039</v>
      </c>
      <c r="B6" s="8" t="s">
        <v>1027</v>
      </c>
      <c r="C6" s="8" t="s">
        <v>1040</v>
      </c>
      <c r="D6" s="8" t="s">
        <v>1041</v>
      </c>
      <c r="E6" s="8" t="s">
        <v>1030</v>
      </c>
      <c r="F6" s="8" t="s">
        <v>100</v>
      </c>
      <c r="G6" s="8" t="s">
        <v>1042</v>
      </c>
      <c r="H6" s="8" t="s">
        <v>1032</v>
      </c>
      <c r="I6" s="8" t="s">
        <v>147</v>
      </c>
      <c r="J6" s="8" t="s">
        <v>1043</v>
      </c>
      <c r="K6" s="8" t="s">
        <v>105</v>
      </c>
      <c r="L6" s="8" t="s">
        <v>1035</v>
      </c>
      <c r="M6" s="8" t="s">
        <v>146</v>
      </c>
      <c r="N6" s="8" t="s">
        <v>147</v>
      </c>
      <c r="O6" s="8" t="s">
        <v>882</v>
      </c>
      <c r="P6" s="8" t="s">
        <v>109</v>
      </c>
      <c r="Q6" s="8" t="s">
        <v>110</v>
      </c>
      <c r="R6" s="9" t="s">
        <v>111</v>
      </c>
    </row>
    <row r="7" ht="28" spans="1:18">
      <c r="A7" s="10" t="s">
        <v>1044</v>
      </c>
      <c r="B7" s="11" t="s">
        <v>1027</v>
      </c>
      <c r="C7" s="11" t="s">
        <v>1045</v>
      </c>
      <c r="D7" s="11" t="s">
        <v>1046</v>
      </c>
      <c r="E7" s="11" t="s">
        <v>1047</v>
      </c>
      <c r="F7" s="11" t="s">
        <v>135</v>
      </c>
      <c r="G7" s="11" t="s">
        <v>1048</v>
      </c>
      <c r="H7" s="11" t="s">
        <v>1049</v>
      </c>
      <c r="I7" s="11" t="s">
        <v>1050</v>
      </c>
      <c r="J7" s="11" t="s">
        <v>1051</v>
      </c>
      <c r="K7" s="11" t="s">
        <v>105</v>
      </c>
      <c r="L7" s="11" t="s">
        <v>1035</v>
      </c>
      <c r="M7" s="11" t="s">
        <v>155</v>
      </c>
      <c r="N7" s="11" t="s">
        <v>156</v>
      </c>
      <c r="O7" s="11" t="s">
        <v>529</v>
      </c>
      <c r="P7" s="11" t="s">
        <v>109</v>
      </c>
      <c r="Q7" s="11" t="s">
        <v>110</v>
      </c>
      <c r="R7" s="12" t="s">
        <v>111</v>
      </c>
    </row>
    <row r="8" ht="28" spans="1:18">
      <c r="A8" s="7" t="s">
        <v>1052</v>
      </c>
      <c r="B8" s="8" t="s">
        <v>1053</v>
      </c>
      <c r="C8" s="8" t="s">
        <v>1054</v>
      </c>
      <c r="D8" s="8" t="s">
        <v>1055</v>
      </c>
      <c r="E8" s="8" t="s">
        <v>1030</v>
      </c>
      <c r="F8" s="8" t="s">
        <v>100</v>
      </c>
      <c r="G8" s="8" t="s">
        <v>1056</v>
      </c>
      <c r="H8" s="8" t="s">
        <v>1032</v>
      </c>
      <c r="I8" s="8" t="s">
        <v>1057</v>
      </c>
      <c r="J8" s="8" t="s">
        <v>1058</v>
      </c>
      <c r="K8" s="8" t="s">
        <v>105</v>
      </c>
      <c r="L8" s="8" t="s">
        <v>1035</v>
      </c>
      <c r="M8" s="8" t="s">
        <v>155</v>
      </c>
      <c r="N8" s="8" t="s">
        <v>156</v>
      </c>
      <c r="O8" s="8" t="s">
        <v>529</v>
      </c>
      <c r="P8" s="8" t="s">
        <v>109</v>
      </c>
      <c r="Q8" s="8" t="s">
        <v>110</v>
      </c>
      <c r="R8" s="9" t="s">
        <v>111</v>
      </c>
    </row>
    <row r="9" ht="28" spans="1:18">
      <c r="A9" s="10" t="s">
        <v>1059</v>
      </c>
      <c r="B9" s="11" t="s">
        <v>1053</v>
      </c>
      <c r="C9" s="11" t="s">
        <v>1060</v>
      </c>
      <c r="D9" s="11" t="s">
        <v>1061</v>
      </c>
      <c r="E9" s="11" t="s">
        <v>1062</v>
      </c>
      <c r="F9" s="11" t="s">
        <v>135</v>
      </c>
      <c r="G9" s="11" t="s">
        <v>1063</v>
      </c>
      <c r="H9" s="11" t="s">
        <v>1064</v>
      </c>
      <c r="I9" s="11" t="s">
        <v>1065</v>
      </c>
      <c r="J9" s="11" t="s">
        <v>1066</v>
      </c>
      <c r="K9" s="11" t="s">
        <v>105</v>
      </c>
      <c r="L9" s="11" t="s">
        <v>1035</v>
      </c>
      <c r="M9" s="11" t="s">
        <v>107</v>
      </c>
      <c r="N9" s="11" t="s">
        <v>108</v>
      </c>
      <c r="O9" s="11" t="s">
        <v>1067</v>
      </c>
      <c r="P9" s="11" t="s">
        <v>109</v>
      </c>
      <c r="Q9" s="11" t="s">
        <v>110</v>
      </c>
      <c r="R9" s="12" t="s">
        <v>111</v>
      </c>
    </row>
    <row r="10" ht="28" spans="1:18">
      <c r="A10" s="7" t="s">
        <v>1068</v>
      </c>
      <c r="B10" s="8" t="s">
        <v>1069</v>
      </c>
      <c r="C10" s="8" t="s">
        <v>1070</v>
      </c>
      <c r="D10" s="8" t="s">
        <v>1071</v>
      </c>
      <c r="E10" s="8" t="s">
        <v>1047</v>
      </c>
      <c r="F10" s="8" t="s">
        <v>135</v>
      </c>
      <c r="G10" s="8" t="s">
        <v>1072</v>
      </c>
      <c r="H10" s="8" t="s">
        <v>1073</v>
      </c>
      <c r="I10" s="8" t="s">
        <v>1074</v>
      </c>
      <c r="J10" s="8" t="s">
        <v>1075</v>
      </c>
      <c r="K10" s="8" t="s">
        <v>105</v>
      </c>
      <c r="L10" s="8" t="s">
        <v>1035</v>
      </c>
      <c r="M10" s="8" t="s">
        <v>107</v>
      </c>
      <c r="N10" s="8" t="s">
        <v>108</v>
      </c>
      <c r="O10" s="8" t="s">
        <v>1067</v>
      </c>
      <c r="P10" s="8" t="s">
        <v>109</v>
      </c>
      <c r="Q10" s="8" t="s">
        <v>110</v>
      </c>
      <c r="R10" s="9" t="s">
        <v>111</v>
      </c>
    </row>
    <row r="11" ht="82" spans="1:18">
      <c r="A11" s="10" t="s">
        <v>1076</v>
      </c>
      <c r="B11" s="11" t="s">
        <v>1069</v>
      </c>
      <c r="C11" s="11" t="s">
        <v>1077</v>
      </c>
      <c r="D11" s="11" t="s">
        <v>1078</v>
      </c>
      <c r="E11" s="11" t="s">
        <v>1079</v>
      </c>
      <c r="F11" s="11" t="s">
        <v>1080</v>
      </c>
      <c r="G11" s="11" t="s">
        <v>1081</v>
      </c>
      <c r="H11" s="11" t="s">
        <v>1082</v>
      </c>
      <c r="I11" s="11" t="s">
        <v>1083</v>
      </c>
      <c r="J11" s="11" t="s">
        <v>1084</v>
      </c>
      <c r="K11" s="11" t="s">
        <v>105</v>
      </c>
      <c r="L11" s="11" t="s">
        <v>1035</v>
      </c>
      <c r="M11" s="11" t="s">
        <v>1085</v>
      </c>
      <c r="N11" s="11" t="s">
        <v>1086</v>
      </c>
      <c r="O11" s="11" t="s">
        <v>1087</v>
      </c>
      <c r="P11" s="11" t="s">
        <v>109</v>
      </c>
      <c r="Q11" s="11" t="s">
        <v>110</v>
      </c>
      <c r="R11" s="12" t="s">
        <v>111</v>
      </c>
    </row>
    <row r="12" ht="55" spans="1:18">
      <c r="A12" s="7" t="s">
        <v>1088</v>
      </c>
      <c r="B12" s="8" t="s">
        <v>1089</v>
      </c>
      <c r="C12" s="8" t="s">
        <v>1090</v>
      </c>
      <c r="D12" s="8" t="s">
        <v>1091</v>
      </c>
      <c r="E12" s="8" t="s">
        <v>1092</v>
      </c>
      <c r="F12" s="8" t="s">
        <v>135</v>
      </c>
      <c r="G12" s="8" t="s">
        <v>1093</v>
      </c>
      <c r="H12" s="8" t="s">
        <v>1032</v>
      </c>
      <c r="I12" s="8" t="s">
        <v>1094</v>
      </c>
      <c r="J12" s="8" t="s">
        <v>1095</v>
      </c>
      <c r="K12" s="8" t="s">
        <v>105</v>
      </c>
      <c r="L12" s="8" t="s">
        <v>1035</v>
      </c>
      <c r="M12" s="8" t="s">
        <v>1096</v>
      </c>
      <c r="N12" s="8" t="s">
        <v>1097</v>
      </c>
      <c r="O12" s="8" t="s">
        <v>1098</v>
      </c>
      <c r="P12" s="8" t="s">
        <v>109</v>
      </c>
      <c r="Q12" s="8" t="s">
        <v>110</v>
      </c>
      <c r="R12" s="9" t="s">
        <v>111</v>
      </c>
    </row>
    <row r="13" spans="1:18">
      <c r="A13" s="10" t="s">
        <v>1099</v>
      </c>
      <c r="B13" s="11" t="s">
        <v>1089</v>
      </c>
      <c r="C13" s="11" t="s">
        <v>1100</v>
      </c>
      <c r="D13" s="11" t="s">
        <v>1101</v>
      </c>
      <c r="E13" s="11" t="s">
        <v>1102</v>
      </c>
      <c r="F13" s="11" t="s">
        <v>1080</v>
      </c>
      <c r="G13" s="11" t="s">
        <v>1103</v>
      </c>
      <c r="H13" s="11" t="s">
        <v>1049</v>
      </c>
      <c r="I13" s="11" t="s">
        <v>1104</v>
      </c>
      <c r="J13" s="11" t="s">
        <v>1105</v>
      </c>
      <c r="K13" s="11" t="s">
        <v>105</v>
      </c>
      <c r="L13" s="11" t="s">
        <v>1035</v>
      </c>
      <c r="M13" s="11" t="s">
        <v>459</v>
      </c>
      <c r="N13" s="11" t="s">
        <v>452</v>
      </c>
      <c r="O13" s="11" t="s">
        <v>460</v>
      </c>
      <c r="P13" s="11" t="s">
        <v>121</v>
      </c>
      <c r="Q13" s="11" t="s">
        <v>110</v>
      </c>
      <c r="R13" s="12" t="s">
        <v>111</v>
      </c>
    </row>
    <row r="14" ht="55" spans="1:18">
      <c r="A14" s="7" t="s">
        <v>1106</v>
      </c>
      <c r="B14" s="8" t="s">
        <v>1089</v>
      </c>
      <c r="C14" s="8" t="s">
        <v>1107</v>
      </c>
      <c r="D14" s="8" t="s">
        <v>1108</v>
      </c>
      <c r="E14" s="8" t="s">
        <v>1109</v>
      </c>
      <c r="F14" s="8" t="s">
        <v>101</v>
      </c>
      <c r="G14" s="8" t="s">
        <v>1110</v>
      </c>
      <c r="H14" s="8" t="s">
        <v>1032</v>
      </c>
      <c r="I14" s="8" t="s">
        <v>207</v>
      </c>
      <c r="J14" s="8" t="s">
        <v>1111</v>
      </c>
      <c r="K14" s="8" t="s">
        <v>105</v>
      </c>
      <c r="L14" s="8" t="s">
        <v>1035</v>
      </c>
      <c r="M14" s="8" t="s">
        <v>211</v>
      </c>
      <c r="N14" s="8" t="s">
        <v>212</v>
      </c>
      <c r="O14" s="8" t="s">
        <v>1112</v>
      </c>
      <c r="P14" s="8" t="s">
        <v>109</v>
      </c>
      <c r="Q14" s="8" t="s">
        <v>110</v>
      </c>
      <c r="R14" s="9" t="s">
        <v>111</v>
      </c>
    </row>
    <row r="15" ht="28" spans="1:18">
      <c r="A15" s="10" t="s">
        <v>1113</v>
      </c>
      <c r="B15" s="11" t="s">
        <v>1114</v>
      </c>
      <c r="C15" s="11" t="s">
        <v>1115</v>
      </c>
      <c r="D15" s="11" t="s">
        <v>1116</v>
      </c>
      <c r="E15" s="11" t="s">
        <v>1030</v>
      </c>
      <c r="F15" s="11" t="s">
        <v>101</v>
      </c>
      <c r="G15" s="11" t="s">
        <v>1117</v>
      </c>
      <c r="H15" s="11" t="s">
        <v>1032</v>
      </c>
      <c r="I15" s="11" t="s">
        <v>1118</v>
      </c>
      <c r="J15" s="11" t="s">
        <v>749</v>
      </c>
      <c r="K15" s="11" t="s">
        <v>105</v>
      </c>
      <c r="L15" s="11" t="s">
        <v>1035</v>
      </c>
      <c r="M15" s="11" t="s">
        <v>220</v>
      </c>
      <c r="N15" s="11" t="s">
        <v>221</v>
      </c>
      <c r="O15" s="11" t="s">
        <v>1119</v>
      </c>
      <c r="P15" s="11" t="s">
        <v>121</v>
      </c>
      <c r="Q15" s="11" t="s">
        <v>110</v>
      </c>
      <c r="R15" s="12" t="s">
        <v>111</v>
      </c>
    </row>
    <row r="16" ht="55" spans="1:18">
      <c r="A16" s="7" t="s">
        <v>1120</v>
      </c>
      <c r="B16" s="8" t="s">
        <v>1121</v>
      </c>
      <c r="C16" s="8" t="s">
        <v>1122</v>
      </c>
      <c r="D16" s="8" t="s">
        <v>1123</v>
      </c>
      <c r="E16" s="8" t="s">
        <v>1124</v>
      </c>
      <c r="F16" s="8" t="s">
        <v>1125</v>
      </c>
      <c r="G16" s="8" t="s">
        <v>1126</v>
      </c>
      <c r="H16" s="8" t="s">
        <v>1127</v>
      </c>
      <c r="I16" s="8" t="s">
        <v>1128</v>
      </c>
      <c r="J16" s="8" t="s">
        <v>1129</v>
      </c>
      <c r="K16" s="8" t="s">
        <v>105</v>
      </c>
      <c r="L16" s="8" t="s">
        <v>1035</v>
      </c>
      <c r="M16" s="8" t="s">
        <v>563</v>
      </c>
      <c r="N16" s="8" t="s">
        <v>564</v>
      </c>
      <c r="O16" s="8" t="s">
        <v>565</v>
      </c>
      <c r="P16" s="8" t="s">
        <v>109</v>
      </c>
      <c r="Q16" s="8" t="s">
        <v>110</v>
      </c>
      <c r="R16" s="9" t="s">
        <v>111</v>
      </c>
    </row>
    <row r="17" ht="28" spans="1:18">
      <c r="A17" s="10" t="s">
        <v>1130</v>
      </c>
      <c r="B17" s="11" t="s">
        <v>1121</v>
      </c>
      <c r="C17" s="11" t="s">
        <v>1131</v>
      </c>
      <c r="D17" s="11" t="s">
        <v>1132</v>
      </c>
      <c r="E17" s="11" t="s">
        <v>1124</v>
      </c>
      <c r="F17" s="11" t="s">
        <v>1125</v>
      </c>
      <c r="G17" s="11" t="s">
        <v>1133</v>
      </c>
      <c r="H17" s="11" t="s">
        <v>1049</v>
      </c>
      <c r="I17" s="11" t="s">
        <v>1134</v>
      </c>
      <c r="J17" s="11" t="s">
        <v>1135</v>
      </c>
      <c r="K17" s="11" t="s">
        <v>105</v>
      </c>
      <c r="L17" s="11" t="s">
        <v>1035</v>
      </c>
      <c r="M17" s="11" t="s">
        <v>107</v>
      </c>
      <c r="N17" s="11" t="s">
        <v>108</v>
      </c>
      <c r="O17" s="11" t="s">
        <v>1067</v>
      </c>
      <c r="P17" s="11" t="s">
        <v>109</v>
      </c>
      <c r="Q17" s="11" t="s">
        <v>110</v>
      </c>
      <c r="R17" s="12" t="s">
        <v>111</v>
      </c>
    </row>
    <row r="18" ht="28" spans="1:18">
      <c r="A18" s="7" t="s">
        <v>1136</v>
      </c>
      <c r="B18" s="8" t="s">
        <v>1137</v>
      </c>
      <c r="C18" s="8" t="s">
        <v>1138</v>
      </c>
      <c r="D18" s="8" t="s">
        <v>1139</v>
      </c>
      <c r="E18" s="8" t="s">
        <v>1047</v>
      </c>
      <c r="F18" s="8" t="s">
        <v>135</v>
      </c>
      <c r="G18" s="8" t="s">
        <v>1140</v>
      </c>
      <c r="H18" s="8" t="s">
        <v>1141</v>
      </c>
      <c r="I18" s="8" t="s">
        <v>1142</v>
      </c>
      <c r="J18" s="8" t="s">
        <v>1143</v>
      </c>
      <c r="K18" s="8" t="s">
        <v>105</v>
      </c>
      <c r="L18" s="8" t="s">
        <v>1035</v>
      </c>
      <c r="M18" s="8" t="s">
        <v>155</v>
      </c>
      <c r="N18" s="8" t="s">
        <v>156</v>
      </c>
      <c r="O18" s="8" t="s">
        <v>529</v>
      </c>
      <c r="P18" s="8" t="s">
        <v>109</v>
      </c>
      <c r="Q18" s="8" t="s">
        <v>110</v>
      </c>
      <c r="R18" s="9" t="s">
        <v>111</v>
      </c>
    </row>
    <row r="19" ht="41" spans="1:18">
      <c r="A19" s="10" t="s">
        <v>1144</v>
      </c>
      <c r="B19" s="11" t="s">
        <v>1145</v>
      </c>
      <c r="C19" s="11" t="s">
        <v>1146</v>
      </c>
      <c r="D19" s="11" t="s">
        <v>1147</v>
      </c>
      <c r="E19" s="11" t="s">
        <v>1047</v>
      </c>
      <c r="F19" s="11" t="s">
        <v>135</v>
      </c>
      <c r="G19" s="11" t="s">
        <v>1148</v>
      </c>
      <c r="H19" s="11" t="s">
        <v>1032</v>
      </c>
      <c r="I19" s="11" t="s">
        <v>1149</v>
      </c>
      <c r="J19" s="11" t="s">
        <v>1150</v>
      </c>
      <c r="K19" s="11" t="s">
        <v>105</v>
      </c>
      <c r="L19" s="11" t="s">
        <v>1035</v>
      </c>
      <c r="M19" s="11" t="s">
        <v>1151</v>
      </c>
      <c r="N19" s="11" t="s">
        <v>1152</v>
      </c>
      <c r="O19" s="11" t="s">
        <v>1153</v>
      </c>
      <c r="P19" s="11" t="s">
        <v>109</v>
      </c>
      <c r="Q19" s="11" t="s">
        <v>110</v>
      </c>
      <c r="R19" s="12" t="s">
        <v>111</v>
      </c>
    </row>
    <row r="20" ht="28" spans="1:18">
      <c r="A20" s="7" t="s">
        <v>1154</v>
      </c>
      <c r="B20" s="8" t="s">
        <v>1155</v>
      </c>
      <c r="C20" s="8" t="s">
        <v>1156</v>
      </c>
      <c r="D20" s="8" t="s">
        <v>1157</v>
      </c>
      <c r="E20" s="8">
        <v>5</v>
      </c>
      <c r="F20" s="8" t="s">
        <v>1158</v>
      </c>
      <c r="G20" s="8" t="s">
        <v>1159</v>
      </c>
      <c r="H20" s="8" t="s">
        <v>1160</v>
      </c>
      <c r="I20" s="8" t="s">
        <v>1161</v>
      </c>
      <c r="J20" s="8" t="s">
        <v>1162</v>
      </c>
      <c r="K20" s="8" t="s">
        <v>276</v>
      </c>
      <c r="L20" s="8" t="s">
        <v>106</v>
      </c>
      <c r="M20" s="8" t="s">
        <v>982</v>
      </c>
      <c r="N20" s="8" t="s">
        <v>983</v>
      </c>
      <c r="O20" s="8" t="s">
        <v>984</v>
      </c>
      <c r="P20" s="8" t="s">
        <v>109</v>
      </c>
      <c r="Q20" s="8" t="s">
        <v>110</v>
      </c>
      <c r="R20" s="9" t="s">
        <v>111</v>
      </c>
    </row>
    <row r="21" ht="68" spans="1:18">
      <c r="A21" s="10" t="s">
        <v>1163</v>
      </c>
      <c r="B21" s="11" t="s">
        <v>1155</v>
      </c>
      <c r="C21" s="11" t="s">
        <v>1164</v>
      </c>
      <c r="D21" s="11" t="s">
        <v>1165</v>
      </c>
      <c r="E21" s="11">
        <v>7</v>
      </c>
      <c r="F21" s="11" t="s">
        <v>1166</v>
      </c>
      <c r="G21" s="11" t="s">
        <v>1167</v>
      </c>
      <c r="H21" s="11" t="s">
        <v>1168</v>
      </c>
      <c r="I21" s="11" t="s">
        <v>1169</v>
      </c>
      <c r="J21" s="11" t="s">
        <v>1170</v>
      </c>
      <c r="K21" s="11" t="s">
        <v>276</v>
      </c>
      <c r="L21" s="11" t="s">
        <v>106</v>
      </c>
      <c r="M21" s="11" t="s">
        <v>1171</v>
      </c>
      <c r="N21" s="11" t="s">
        <v>1172</v>
      </c>
      <c r="O21" s="11" t="s">
        <v>1173</v>
      </c>
      <c r="P21" s="11" t="s">
        <v>109</v>
      </c>
      <c r="Q21" s="11" t="s">
        <v>110</v>
      </c>
      <c r="R21" s="12" t="s">
        <v>111</v>
      </c>
    </row>
    <row r="22" ht="41" spans="1:18">
      <c r="A22" s="7" t="s">
        <v>1174</v>
      </c>
      <c r="B22" s="8" t="s">
        <v>1175</v>
      </c>
      <c r="C22" s="8" t="s">
        <v>1176</v>
      </c>
      <c r="D22" s="8" t="s">
        <v>1177</v>
      </c>
      <c r="E22" s="8">
        <v>7</v>
      </c>
      <c r="F22" s="8" t="s">
        <v>1166</v>
      </c>
      <c r="G22" s="8" t="s">
        <v>1178</v>
      </c>
      <c r="H22" s="8" t="s">
        <v>1168</v>
      </c>
      <c r="I22" s="8" t="s">
        <v>1179</v>
      </c>
      <c r="J22" s="8" t="s">
        <v>723</v>
      </c>
      <c r="K22" s="8" t="s">
        <v>276</v>
      </c>
      <c r="L22" s="8" t="s">
        <v>106</v>
      </c>
      <c r="M22" s="8" t="s">
        <v>1180</v>
      </c>
      <c r="N22" s="8" t="s">
        <v>463</v>
      </c>
      <c r="O22" s="8" t="s">
        <v>1181</v>
      </c>
      <c r="P22" s="8" t="s">
        <v>121</v>
      </c>
      <c r="Q22" s="8" t="s">
        <v>110</v>
      </c>
      <c r="R22" s="9" t="s">
        <v>111</v>
      </c>
    </row>
    <row r="23" ht="55" spans="1:18">
      <c r="A23" s="10" t="s">
        <v>1182</v>
      </c>
      <c r="B23" s="11" t="s">
        <v>1183</v>
      </c>
      <c r="C23" s="11" t="s">
        <v>1184</v>
      </c>
      <c r="D23" s="11" t="s">
        <v>1185</v>
      </c>
      <c r="E23" s="11">
        <v>4</v>
      </c>
      <c r="F23" s="11" t="s">
        <v>310</v>
      </c>
      <c r="G23" s="11" t="s">
        <v>1186</v>
      </c>
      <c r="H23" s="11" t="s">
        <v>1187</v>
      </c>
      <c r="I23" s="11" t="s">
        <v>1188</v>
      </c>
      <c r="J23" s="11" t="s">
        <v>1189</v>
      </c>
      <c r="K23" s="11" t="s">
        <v>276</v>
      </c>
      <c r="L23" s="11" t="s">
        <v>106</v>
      </c>
      <c r="M23" s="11" t="s">
        <v>358</v>
      </c>
      <c r="N23" s="11" t="s">
        <v>359</v>
      </c>
      <c r="O23" s="11" t="s">
        <v>1190</v>
      </c>
      <c r="P23" s="11" t="s">
        <v>109</v>
      </c>
      <c r="Q23" s="11" t="s">
        <v>110</v>
      </c>
      <c r="R23" s="12" t="s">
        <v>111</v>
      </c>
    </row>
    <row r="24" ht="41" spans="1:18">
      <c r="A24" s="7" t="s">
        <v>1191</v>
      </c>
      <c r="B24" s="8" t="s">
        <v>1192</v>
      </c>
      <c r="C24" s="8" t="s">
        <v>1193</v>
      </c>
      <c r="D24" s="8" t="s">
        <v>1194</v>
      </c>
      <c r="E24" s="8">
        <v>6</v>
      </c>
      <c r="F24" s="8" t="s">
        <v>1166</v>
      </c>
      <c r="G24" s="8" t="s">
        <v>1195</v>
      </c>
      <c r="H24" s="8" t="s">
        <v>1196</v>
      </c>
      <c r="I24" s="8" t="s">
        <v>1197</v>
      </c>
      <c r="J24" s="8" t="s">
        <v>1198</v>
      </c>
      <c r="K24" s="8" t="s">
        <v>276</v>
      </c>
      <c r="L24" s="8" t="s">
        <v>106</v>
      </c>
      <c r="M24" s="8" t="s">
        <v>1199</v>
      </c>
      <c r="N24" s="8" t="s">
        <v>1200</v>
      </c>
      <c r="O24" s="8" t="s">
        <v>1201</v>
      </c>
      <c r="P24" s="8" t="s">
        <v>121</v>
      </c>
      <c r="Q24" s="8" t="s">
        <v>110</v>
      </c>
      <c r="R24" s="9" t="s">
        <v>111</v>
      </c>
    </row>
    <row r="25" ht="41" spans="1:18">
      <c r="A25" s="10" t="s">
        <v>1202</v>
      </c>
      <c r="B25" s="11" t="s">
        <v>374</v>
      </c>
      <c r="C25" s="11" t="s">
        <v>1203</v>
      </c>
      <c r="D25" s="11" t="s">
        <v>1204</v>
      </c>
      <c r="E25" s="11">
        <v>5</v>
      </c>
      <c r="F25" s="11" t="s">
        <v>310</v>
      </c>
      <c r="G25" s="11" t="s">
        <v>1205</v>
      </c>
      <c r="H25" s="11" t="s">
        <v>1206</v>
      </c>
      <c r="I25" s="11" t="s">
        <v>1207</v>
      </c>
      <c r="J25" s="11" t="s">
        <v>303</v>
      </c>
      <c r="K25" s="11" t="s">
        <v>276</v>
      </c>
      <c r="L25" s="11" t="s">
        <v>106</v>
      </c>
      <c r="M25" s="11" t="s">
        <v>1208</v>
      </c>
      <c r="N25" s="11" t="s">
        <v>1209</v>
      </c>
      <c r="O25" s="11" t="s">
        <v>1210</v>
      </c>
      <c r="P25" s="11" t="s">
        <v>121</v>
      </c>
      <c r="Q25" s="11" t="s">
        <v>110</v>
      </c>
      <c r="R25" s="12" t="s">
        <v>111</v>
      </c>
    </row>
    <row r="26" ht="41" spans="1:18">
      <c r="A26" s="7" t="s">
        <v>1211</v>
      </c>
      <c r="B26" s="8" t="s">
        <v>374</v>
      </c>
      <c r="C26" s="8" t="s">
        <v>1212</v>
      </c>
      <c r="D26" s="8" t="s">
        <v>1213</v>
      </c>
      <c r="E26" s="8">
        <v>6</v>
      </c>
      <c r="F26" s="8" t="s">
        <v>1166</v>
      </c>
      <c r="G26" s="8" t="s">
        <v>1214</v>
      </c>
      <c r="H26" s="8" t="s">
        <v>1196</v>
      </c>
      <c r="I26" s="8" t="s">
        <v>1215</v>
      </c>
      <c r="J26" s="8" t="s">
        <v>619</v>
      </c>
      <c r="K26" s="8" t="s">
        <v>276</v>
      </c>
      <c r="L26" s="8" t="s">
        <v>106</v>
      </c>
      <c r="M26" s="8" t="s">
        <v>1216</v>
      </c>
      <c r="N26" s="8" t="s">
        <v>1217</v>
      </c>
      <c r="O26" s="8" t="s">
        <v>1218</v>
      </c>
      <c r="P26" s="8" t="s">
        <v>109</v>
      </c>
      <c r="Q26" s="8" t="s">
        <v>203</v>
      </c>
      <c r="R26" s="9" t="s">
        <v>111</v>
      </c>
    </row>
    <row r="27" ht="41" spans="1:18">
      <c r="A27" s="10" t="s">
        <v>1219</v>
      </c>
      <c r="B27" s="11" t="s">
        <v>552</v>
      </c>
      <c r="C27" s="11" t="s">
        <v>1220</v>
      </c>
      <c r="D27" s="11" t="s">
        <v>1221</v>
      </c>
      <c r="E27" s="11">
        <v>7</v>
      </c>
      <c r="F27" s="11" t="s">
        <v>1166</v>
      </c>
      <c r="G27" s="11" t="s">
        <v>1222</v>
      </c>
      <c r="H27" s="11" t="s">
        <v>1168</v>
      </c>
      <c r="I27" s="11" t="s">
        <v>1223</v>
      </c>
      <c r="J27" s="11" t="s">
        <v>1224</v>
      </c>
      <c r="K27" s="11" t="s">
        <v>276</v>
      </c>
      <c r="L27" s="11" t="s">
        <v>106</v>
      </c>
      <c r="M27" s="11" t="s">
        <v>1225</v>
      </c>
      <c r="N27" s="11" t="s">
        <v>1226</v>
      </c>
      <c r="O27" s="11" t="s">
        <v>1227</v>
      </c>
      <c r="P27" s="11" t="s">
        <v>109</v>
      </c>
      <c r="Q27" s="11" t="s">
        <v>110</v>
      </c>
      <c r="R27" s="12" t="s">
        <v>111</v>
      </c>
    </row>
    <row r="28" ht="28" spans="1:18">
      <c r="A28" s="7" t="s">
        <v>1228</v>
      </c>
      <c r="B28" s="8" t="s">
        <v>552</v>
      </c>
      <c r="C28" s="8" t="s">
        <v>1229</v>
      </c>
      <c r="D28" s="8" t="s">
        <v>1230</v>
      </c>
      <c r="E28" s="8">
        <v>5</v>
      </c>
      <c r="F28" s="8" t="s">
        <v>310</v>
      </c>
      <c r="G28" s="8" t="s">
        <v>1231</v>
      </c>
      <c r="H28" s="8" t="s">
        <v>1206</v>
      </c>
      <c r="I28" s="8" t="s">
        <v>1232</v>
      </c>
      <c r="J28" s="8" t="s">
        <v>1233</v>
      </c>
      <c r="K28" s="8" t="s">
        <v>276</v>
      </c>
      <c r="L28" s="8" t="s">
        <v>106</v>
      </c>
      <c r="M28" s="8" t="s">
        <v>1234</v>
      </c>
      <c r="N28" s="8" t="s">
        <v>1235</v>
      </c>
      <c r="O28" s="8" t="s">
        <v>1236</v>
      </c>
      <c r="P28" s="8" t="s">
        <v>109</v>
      </c>
      <c r="Q28" s="8" t="s">
        <v>110</v>
      </c>
      <c r="R28" s="9" t="s">
        <v>111</v>
      </c>
    </row>
    <row r="29" ht="41" spans="1:18">
      <c r="A29" s="10" t="s">
        <v>1237</v>
      </c>
      <c r="B29" s="11" t="s">
        <v>1238</v>
      </c>
      <c r="C29" s="11" t="s">
        <v>1239</v>
      </c>
      <c r="D29" s="11" t="s">
        <v>1240</v>
      </c>
      <c r="E29" s="11">
        <v>6</v>
      </c>
      <c r="F29" s="11" t="s">
        <v>1166</v>
      </c>
      <c r="G29" s="11" t="s">
        <v>1241</v>
      </c>
      <c r="H29" s="11" t="s">
        <v>1196</v>
      </c>
      <c r="I29" s="11" t="s">
        <v>1242</v>
      </c>
      <c r="J29" s="11" t="s">
        <v>1243</v>
      </c>
      <c r="K29" s="11" t="s">
        <v>276</v>
      </c>
      <c r="L29" s="11" t="s">
        <v>106</v>
      </c>
      <c r="M29" s="11" t="s">
        <v>341</v>
      </c>
      <c r="N29" s="11" t="s">
        <v>342</v>
      </c>
      <c r="O29" s="11" t="s">
        <v>1244</v>
      </c>
      <c r="P29" s="11" t="s">
        <v>109</v>
      </c>
      <c r="Q29" s="11" t="s">
        <v>110</v>
      </c>
      <c r="R29" s="12" t="s">
        <v>111</v>
      </c>
    </row>
    <row r="30" ht="28" spans="1:18">
      <c r="A30" s="7" t="s">
        <v>1245</v>
      </c>
      <c r="B30" s="8" t="s">
        <v>1246</v>
      </c>
      <c r="C30" s="8" t="s">
        <v>1247</v>
      </c>
      <c r="D30" s="8" t="s">
        <v>1248</v>
      </c>
      <c r="E30" s="8">
        <v>6</v>
      </c>
      <c r="F30" s="8" t="s">
        <v>1166</v>
      </c>
      <c r="G30" s="8" t="s">
        <v>1249</v>
      </c>
      <c r="H30" s="8" t="s">
        <v>1196</v>
      </c>
      <c r="I30" s="8" t="s">
        <v>1250</v>
      </c>
      <c r="J30" s="8" t="s">
        <v>1251</v>
      </c>
      <c r="K30" s="8" t="s">
        <v>276</v>
      </c>
      <c r="L30" s="8" t="s">
        <v>106</v>
      </c>
      <c r="M30" s="8" t="s">
        <v>240</v>
      </c>
      <c r="N30" s="8" t="s">
        <v>241</v>
      </c>
      <c r="O30" s="8" t="s">
        <v>1252</v>
      </c>
      <c r="P30" s="8" t="s">
        <v>109</v>
      </c>
      <c r="Q30" s="8" t="s">
        <v>110</v>
      </c>
      <c r="R30" s="9" t="s">
        <v>111</v>
      </c>
    </row>
    <row r="31" ht="41" spans="1:18">
      <c r="A31" s="10" t="s">
        <v>1253</v>
      </c>
      <c r="B31" s="11" t="s">
        <v>450</v>
      </c>
      <c r="C31" s="11" t="s">
        <v>1254</v>
      </c>
      <c r="D31" s="11" t="s">
        <v>1255</v>
      </c>
      <c r="E31" s="11">
        <v>7</v>
      </c>
      <c r="F31" s="11" t="s">
        <v>1166</v>
      </c>
      <c r="G31" s="11" t="s">
        <v>1256</v>
      </c>
      <c r="H31" s="11" t="s">
        <v>1168</v>
      </c>
      <c r="I31" s="11" t="s">
        <v>1257</v>
      </c>
      <c r="J31" s="11" t="s">
        <v>1258</v>
      </c>
      <c r="K31" s="11" t="s">
        <v>276</v>
      </c>
      <c r="L31" s="11" t="s">
        <v>106</v>
      </c>
      <c r="M31" s="11" t="s">
        <v>350</v>
      </c>
      <c r="N31" s="11" t="s">
        <v>346</v>
      </c>
      <c r="O31" s="11" t="s">
        <v>1259</v>
      </c>
      <c r="P31" s="11" t="s">
        <v>121</v>
      </c>
      <c r="Q31" s="11" t="s">
        <v>110</v>
      </c>
      <c r="R31" s="12" t="s">
        <v>111</v>
      </c>
    </row>
    <row r="32" ht="41" spans="1:18">
      <c r="A32" s="7" t="s">
        <v>1260</v>
      </c>
      <c r="B32" s="8" t="s">
        <v>1261</v>
      </c>
      <c r="C32" s="8" t="s">
        <v>1262</v>
      </c>
      <c r="D32" s="8" t="s">
        <v>1263</v>
      </c>
      <c r="E32" s="8">
        <v>7</v>
      </c>
      <c r="F32" s="8" t="s">
        <v>1166</v>
      </c>
      <c r="G32" s="8" t="s">
        <v>1264</v>
      </c>
      <c r="H32" s="8" t="s">
        <v>1168</v>
      </c>
      <c r="I32" s="8" t="s">
        <v>1265</v>
      </c>
      <c r="J32" s="8" t="s">
        <v>1266</v>
      </c>
      <c r="K32" s="8" t="s">
        <v>276</v>
      </c>
      <c r="L32" s="8" t="s">
        <v>106</v>
      </c>
      <c r="M32" s="8" t="s">
        <v>1267</v>
      </c>
      <c r="N32" s="8" t="s">
        <v>1268</v>
      </c>
      <c r="O32" s="8" t="s">
        <v>1269</v>
      </c>
      <c r="P32" s="8" t="s">
        <v>121</v>
      </c>
      <c r="Q32" s="8" t="s">
        <v>110</v>
      </c>
      <c r="R32" s="9" t="s">
        <v>111</v>
      </c>
    </row>
    <row r="33" ht="28" spans="1:18">
      <c r="A33" s="10" t="s">
        <v>1270</v>
      </c>
      <c r="B33" s="11" t="s">
        <v>1271</v>
      </c>
      <c r="C33" s="11" t="s">
        <v>1272</v>
      </c>
      <c r="D33" s="11" t="s">
        <v>1273</v>
      </c>
      <c r="E33" s="11">
        <v>5</v>
      </c>
      <c r="F33" s="11" t="s">
        <v>310</v>
      </c>
      <c r="G33" s="11" t="s">
        <v>1274</v>
      </c>
      <c r="H33" s="11" t="s">
        <v>1206</v>
      </c>
      <c r="I33" s="11" t="s">
        <v>1275</v>
      </c>
      <c r="J33" s="11" t="s">
        <v>1276</v>
      </c>
      <c r="K33" s="11" t="s">
        <v>276</v>
      </c>
      <c r="L33" s="11" t="s">
        <v>106</v>
      </c>
      <c r="M33" s="11" t="s">
        <v>607</v>
      </c>
      <c r="N33" s="11" t="s">
        <v>608</v>
      </c>
      <c r="O33" s="11" t="s">
        <v>609</v>
      </c>
      <c r="P33" s="11" t="s">
        <v>121</v>
      </c>
      <c r="Q33" s="11" t="s">
        <v>110</v>
      </c>
      <c r="R33" s="12" t="s">
        <v>111</v>
      </c>
    </row>
    <row r="34" ht="41" spans="1:18">
      <c r="A34" s="16" t="s">
        <v>1277</v>
      </c>
      <c r="B34" s="17" t="s">
        <v>1278</v>
      </c>
      <c r="C34" s="17" t="s">
        <v>1279</v>
      </c>
      <c r="D34" s="17" t="s">
        <v>1280</v>
      </c>
      <c r="E34" s="17">
        <v>5</v>
      </c>
      <c r="F34" s="17" t="s">
        <v>310</v>
      </c>
      <c r="G34" s="17" t="s">
        <v>1281</v>
      </c>
      <c r="H34" s="17" t="s">
        <v>1206</v>
      </c>
      <c r="I34" s="17" t="s">
        <v>1282</v>
      </c>
      <c r="J34" s="17" t="s">
        <v>1283</v>
      </c>
      <c r="K34" s="17" t="s">
        <v>276</v>
      </c>
      <c r="L34" s="17" t="s">
        <v>106</v>
      </c>
      <c r="M34" s="17" t="s">
        <v>1284</v>
      </c>
      <c r="N34" s="17" t="s">
        <v>1285</v>
      </c>
      <c r="O34" s="17" t="s">
        <v>1286</v>
      </c>
      <c r="P34" s="17" t="s">
        <v>109</v>
      </c>
      <c r="Q34" s="17" t="s">
        <v>110</v>
      </c>
      <c r="R34" s="18" t="s">
        <v>111</v>
      </c>
    </row>
  </sheetData>
  <mergeCells count="2">
    <mergeCell ref="A1:R1"/>
    <mergeCell ref="A2:R2"/>
  </mergeCell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showGridLines="0" topLeftCell="A2" workbookViewId="0">
      <selection activeCell="A1" sqref="A1:M1"/>
    </sheetView>
  </sheetViews>
  <sheetFormatPr defaultColWidth="9" defaultRowHeight="16.8"/>
  <cols>
    <col min="1" max="1" width="10" customWidth="1"/>
    <col min="2" max="2" width="16" customWidth="1"/>
    <col min="3" max="3" width="22" customWidth="1"/>
    <col min="4" max="4" width="35" customWidth="1"/>
    <col min="5" max="5" width="45" customWidth="1"/>
    <col min="6" max="6" width="42" customWidth="1"/>
    <col min="7" max="7" width="11" customWidth="1"/>
    <col min="8" max="8" width="12" customWidth="1"/>
    <col min="9" max="9" width="26" customWidth="1"/>
    <col min="10" max="10" width="42" customWidth="1"/>
    <col min="11" max="11" width="16" customWidth="1"/>
    <col min="12" max="12" width="10" customWidth="1"/>
    <col min="13" max="13" width="12" customWidth="1"/>
  </cols>
  <sheetData>
    <row r="1" ht="32" customHeight="1" spans="1:13">
      <c r="A1" s="1" t="s">
        <v>1287</v>
      </c>
      <c r="B1" s="1"/>
      <c r="C1" s="1"/>
      <c r="D1" s="1"/>
      <c r="E1" s="1"/>
      <c r="F1" s="1"/>
      <c r="G1" s="1"/>
      <c r="H1" s="1"/>
      <c r="I1" s="1"/>
      <c r="J1" s="1"/>
      <c r="K1" s="1"/>
      <c r="L1" s="1"/>
      <c r="M1" s="1"/>
    </row>
    <row r="2" ht="34" customHeight="1" spans="1:13">
      <c r="A2" s="2" t="s">
        <v>1288</v>
      </c>
      <c r="B2" s="2"/>
      <c r="C2" s="2"/>
      <c r="D2" s="2"/>
      <c r="E2" s="2"/>
      <c r="F2" s="2"/>
      <c r="G2" s="2"/>
      <c r="H2" s="2"/>
      <c r="I2" s="2"/>
      <c r="J2" s="2"/>
      <c r="K2" s="2"/>
      <c r="L2" s="2"/>
      <c r="M2" s="2"/>
    </row>
    <row r="4" ht="32" customHeight="1" spans="1:13">
      <c r="A4" s="3" t="s">
        <v>78</v>
      </c>
      <c r="B4" s="3" t="s">
        <v>1289</v>
      </c>
      <c r="C4" s="3" t="s">
        <v>1290</v>
      </c>
      <c r="D4" s="3" t="s">
        <v>1291</v>
      </c>
      <c r="E4" s="3" t="s">
        <v>1292</v>
      </c>
      <c r="F4" s="3" t="s">
        <v>1293</v>
      </c>
      <c r="G4" s="3" t="s">
        <v>88</v>
      </c>
      <c r="H4" s="3" t="s">
        <v>90</v>
      </c>
      <c r="I4" s="3" t="s">
        <v>91</v>
      </c>
      <c r="J4" s="3" t="s">
        <v>372</v>
      </c>
      <c r="K4" s="3" t="s">
        <v>92</v>
      </c>
      <c r="L4" s="3" t="s">
        <v>93</v>
      </c>
      <c r="M4" s="3" t="s">
        <v>94</v>
      </c>
    </row>
    <row r="5" ht="96" spans="1:13">
      <c r="A5" s="4" t="s">
        <v>1294</v>
      </c>
      <c r="B5" s="5" t="s">
        <v>1295</v>
      </c>
      <c r="C5" s="5" t="s">
        <v>1296</v>
      </c>
      <c r="D5" s="5" t="s">
        <v>1297</v>
      </c>
      <c r="E5" s="5" t="s">
        <v>1298</v>
      </c>
      <c r="F5" s="5" t="s">
        <v>1299</v>
      </c>
      <c r="G5" s="5" t="s">
        <v>105</v>
      </c>
      <c r="H5" s="5" t="s">
        <v>1300</v>
      </c>
      <c r="I5" s="5" t="s">
        <v>1301</v>
      </c>
      <c r="J5" s="5" t="s">
        <v>1302</v>
      </c>
      <c r="K5" s="5" t="s">
        <v>109</v>
      </c>
      <c r="L5" s="5" t="s">
        <v>110</v>
      </c>
      <c r="M5" s="6" t="s">
        <v>111</v>
      </c>
    </row>
    <row r="6" ht="28" spans="1:13">
      <c r="A6" s="7" t="s">
        <v>1303</v>
      </c>
      <c r="B6" s="8" t="s">
        <v>1295</v>
      </c>
      <c r="C6" s="8" t="s">
        <v>1304</v>
      </c>
      <c r="D6" s="8" t="s">
        <v>1305</v>
      </c>
      <c r="E6" s="8" t="s">
        <v>1306</v>
      </c>
      <c r="F6" s="8" t="s">
        <v>1307</v>
      </c>
      <c r="G6" s="8" t="s">
        <v>105</v>
      </c>
      <c r="H6" s="8" t="s">
        <v>1308</v>
      </c>
      <c r="I6" s="8" t="s">
        <v>108</v>
      </c>
      <c r="J6" s="8" t="s">
        <v>1309</v>
      </c>
      <c r="K6" s="8" t="s">
        <v>109</v>
      </c>
      <c r="L6" s="8" t="s">
        <v>110</v>
      </c>
      <c r="M6" s="9" t="s">
        <v>111</v>
      </c>
    </row>
    <row r="7" spans="1:13">
      <c r="A7" s="10" t="s">
        <v>1310</v>
      </c>
      <c r="B7" s="11" t="s">
        <v>1311</v>
      </c>
      <c r="C7" s="11" t="s">
        <v>1312</v>
      </c>
      <c r="D7" s="11" t="s">
        <v>1313</v>
      </c>
      <c r="E7" s="11" t="s">
        <v>1314</v>
      </c>
      <c r="F7" s="11" t="s">
        <v>1315</v>
      </c>
      <c r="G7" s="11" t="s">
        <v>105</v>
      </c>
      <c r="H7" s="11" t="s">
        <v>119</v>
      </c>
      <c r="I7" s="11" t="s">
        <v>120</v>
      </c>
      <c r="J7" s="11" t="s">
        <v>1316</v>
      </c>
      <c r="K7" s="11" t="s">
        <v>121</v>
      </c>
      <c r="L7" s="11" t="s">
        <v>110</v>
      </c>
      <c r="M7" s="12" t="s">
        <v>111</v>
      </c>
    </row>
    <row r="8" ht="28" spans="1:13">
      <c r="A8" s="7" t="s">
        <v>1317</v>
      </c>
      <c r="B8" s="8" t="s">
        <v>1311</v>
      </c>
      <c r="C8" s="8" t="s">
        <v>1318</v>
      </c>
      <c r="D8" s="8" t="s">
        <v>1319</v>
      </c>
      <c r="E8" s="8" t="s">
        <v>1320</v>
      </c>
      <c r="F8" s="8" t="s">
        <v>1321</v>
      </c>
      <c r="G8" s="8" t="s">
        <v>105</v>
      </c>
      <c r="H8" s="8" t="s">
        <v>1322</v>
      </c>
      <c r="I8" s="8" t="s">
        <v>1323</v>
      </c>
      <c r="J8" s="8" t="s">
        <v>1324</v>
      </c>
      <c r="K8" s="8" t="s">
        <v>109</v>
      </c>
      <c r="L8" s="8" t="s">
        <v>110</v>
      </c>
      <c r="M8" s="9" t="s">
        <v>111</v>
      </c>
    </row>
    <row r="9" ht="28" spans="1:13">
      <c r="A9" s="10" t="s">
        <v>1325</v>
      </c>
      <c r="B9" s="11" t="s">
        <v>1311</v>
      </c>
      <c r="C9" s="11" t="s">
        <v>1326</v>
      </c>
      <c r="D9" s="11" t="s">
        <v>1327</v>
      </c>
      <c r="E9" s="11" t="s">
        <v>1328</v>
      </c>
      <c r="F9" s="11" t="s">
        <v>1329</v>
      </c>
      <c r="G9" s="11" t="s">
        <v>105</v>
      </c>
      <c r="H9" s="11" t="s">
        <v>1330</v>
      </c>
      <c r="I9" s="11" t="s">
        <v>1331</v>
      </c>
      <c r="J9" s="11" t="s">
        <v>1332</v>
      </c>
      <c r="K9" s="11" t="s">
        <v>109</v>
      </c>
      <c r="L9" s="11" t="s">
        <v>203</v>
      </c>
      <c r="M9" s="12" t="s">
        <v>111</v>
      </c>
    </row>
    <row r="10" ht="55" spans="1:13">
      <c r="A10" s="7" t="s">
        <v>1333</v>
      </c>
      <c r="B10" s="8" t="s">
        <v>1311</v>
      </c>
      <c r="C10" s="8" t="s">
        <v>1334</v>
      </c>
      <c r="D10" s="8" t="s">
        <v>1335</v>
      </c>
      <c r="E10" s="8" t="s">
        <v>1336</v>
      </c>
      <c r="F10" s="8" t="s">
        <v>1337</v>
      </c>
      <c r="G10" s="8" t="s">
        <v>105</v>
      </c>
      <c r="H10" s="8" t="s">
        <v>1338</v>
      </c>
      <c r="I10" s="8" t="s">
        <v>1339</v>
      </c>
      <c r="J10" s="8" t="s">
        <v>1340</v>
      </c>
      <c r="K10" s="8" t="s">
        <v>109</v>
      </c>
      <c r="L10" s="8" t="s">
        <v>110</v>
      </c>
      <c r="M10" s="9" t="s">
        <v>111</v>
      </c>
    </row>
    <row r="11" ht="41" spans="1:13">
      <c r="A11" s="10" t="s">
        <v>1341</v>
      </c>
      <c r="B11" s="11" t="s">
        <v>1342</v>
      </c>
      <c r="C11" s="11" t="s">
        <v>1343</v>
      </c>
      <c r="D11" s="11" t="s">
        <v>1344</v>
      </c>
      <c r="E11" s="11" t="s">
        <v>1345</v>
      </c>
      <c r="F11" s="11" t="s">
        <v>1346</v>
      </c>
      <c r="G11" s="11" t="s">
        <v>105</v>
      </c>
      <c r="H11" s="11" t="s">
        <v>1347</v>
      </c>
      <c r="I11" s="11" t="s">
        <v>1348</v>
      </c>
      <c r="J11" s="11" t="s">
        <v>1349</v>
      </c>
      <c r="K11" s="11" t="s">
        <v>121</v>
      </c>
      <c r="L11" s="11" t="s">
        <v>110</v>
      </c>
      <c r="M11" s="12" t="s">
        <v>111</v>
      </c>
    </row>
    <row r="12" ht="55" spans="1:13">
      <c r="A12" s="7" t="s">
        <v>1350</v>
      </c>
      <c r="B12" s="8" t="s">
        <v>1342</v>
      </c>
      <c r="C12" s="8" t="s">
        <v>1351</v>
      </c>
      <c r="D12" s="8" t="s">
        <v>1352</v>
      </c>
      <c r="E12" s="8" t="s">
        <v>1353</v>
      </c>
      <c r="F12" s="8" t="s">
        <v>1354</v>
      </c>
      <c r="G12" s="8" t="s">
        <v>105</v>
      </c>
      <c r="H12" s="8" t="s">
        <v>1355</v>
      </c>
      <c r="I12" s="8" t="s">
        <v>1356</v>
      </c>
      <c r="J12" s="8" t="s">
        <v>1357</v>
      </c>
      <c r="K12" s="8" t="s">
        <v>121</v>
      </c>
      <c r="L12" s="8" t="s">
        <v>110</v>
      </c>
      <c r="M12" s="9" t="s">
        <v>111</v>
      </c>
    </row>
    <row r="13" spans="1:13">
      <c r="A13" s="10" t="s">
        <v>1358</v>
      </c>
      <c r="B13" s="11" t="s">
        <v>1342</v>
      </c>
      <c r="C13" s="11" t="s">
        <v>1359</v>
      </c>
      <c r="D13" s="11" t="s">
        <v>1360</v>
      </c>
      <c r="E13" s="11" t="s">
        <v>1361</v>
      </c>
      <c r="F13" s="11" t="s">
        <v>1362</v>
      </c>
      <c r="G13" s="11" t="s">
        <v>105</v>
      </c>
      <c r="H13" s="11" t="s">
        <v>398</v>
      </c>
      <c r="I13" s="11" t="s">
        <v>390</v>
      </c>
      <c r="J13" s="11" t="s">
        <v>399</v>
      </c>
      <c r="K13" s="11" t="s">
        <v>121</v>
      </c>
      <c r="L13" s="11" t="s">
        <v>110</v>
      </c>
      <c r="M13" s="12" t="s">
        <v>111</v>
      </c>
    </row>
    <row r="14" ht="28" spans="1:13">
      <c r="A14" s="7" t="s">
        <v>1363</v>
      </c>
      <c r="B14" s="8" t="s">
        <v>1342</v>
      </c>
      <c r="C14" s="8" t="s">
        <v>1364</v>
      </c>
      <c r="D14" s="8" t="s">
        <v>1365</v>
      </c>
      <c r="E14" s="8" t="s">
        <v>1366</v>
      </c>
      <c r="F14" s="8" t="s">
        <v>1367</v>
      </c>
      <c r="G14" s="8" t="s">
        <v>105</v>
      </c>
      <c r="H14" s="8" t="s">
        <v>155</v>
      </c>
      <c r="I14" s="8" t="s">
        <v>156</v>
      </c>
      <c r="J14" s="8" t="s">
        <v>529</v>
      </c>
      <c r="K14" s="8" t="s">
        <v>109</v>
      </c>
      <c r="L14" s="8" t="s">
        <v>110</v>
      </c>
      <c r="M14" s="9" t="s">
        <v>111</v>
      </c>
    </row>
    <row r="15" ht="55" spans="1:13">
      <c r="A15" s="10" t="s">
        <v>1368</v>
      </c>
      <c r="B15" s="11" t="s">
        <v>1342</v>
      </c>
      <c r="C15" s="11" t="s">
        <v>1369</v>
      </c>
      <c r="D15" s="11" t="s">
        <v>1370</v>
      </c>
      <c r="E15" s="11" t="s">
        <v>1371</v>
      </c>
      <c r="F15" s="11" t="s">
        <v>1372</v>
      </c>
      <c r="G15" s="11" t="s">
        <v>105</v>
      </c>
      <c r="H15" s="11" t="s">
        <v>1373</v>
      </c>
      <c r="I15" s="11" t="s">
        <v>1374</v>
      </c>
      <c r="J15" s="11" t="s">
        <v>1375</v>
      </c>
      <c r="K15" s="11" t="s">
        <v>109</v>
      </c>
      <c r="L15" s="11" t="s">
        <v>110</v>
      </c>
      <c r="M15" s="12" t="s">
        <v>111</v>
      </c>
    </row>
    <row r="16" ht="28" spans="1:13">
      <c r="A16" s="7" t="s">
        <v>1376</v>
      </c>
      <c r="B16" s="8" t="s">
        <v>1377</v>
      </c>
      <c r="C16" s="8" t="s">
        <v>1378</v>
      </c>
      <c r="D16" s="8" t="s">
        <v>1379</v>
      </c>
      <c r="E16" s="8" t="s">
        <v>1380</v>
      </c>
      <c r="F16" s="8" t="s">
        <v>1381</v>
      </c>
      <c r="G16" s="8" t="s">
        <v>105</v>
      </c>
      <c r="H16" s="8" t="s">
        <v>155</v>
      </c>
      <c r="I16" s="8" t="s">
        <v>156</v>
      </c>
      <c r="J16" s="8" t="s">
        <v>529</v>
      </c>
      <c r="K16" s="8" t="s">
        <v>109</v>
      </c>
      <c r="L16" s="8" t="s">
        <v>110</v>
      </c>
      <c r="M16" s="9" t="s">
        <v>111</v>
      </c>
    </row>
    <row r="17" ht="68" spans="1:13">
      <c r="A17" s="10" t="s">
        <v>1382</v>
      </c>
      <c r="B17" s="11" t="s">
        <v>1295</v>
      </c>
      <c r="C17" s="11" t="s">
        <v>1383</v>
      </c>
      <c r="D17" s="11" t="s">
        <v>1384</v>
      </c>
      <c r="E17" s="11" t="s">
        <v>1385</v>
      </c>
      <c r="F17" s="11" t="s">
        <v>1386</v>
      </c>
      <c r="G17" s="11" t="s">
        <v>276</v>
      </c>
      <c r="H17" s="11" t="s">
        <v>1387</v>
      </c>
      <c r="I17" s="11" t="s">
        <v>1388</v>
      </c>
      <c r="J17" s="11" t="s">
        <v>1389</v>
      </c>
      <c r="K17" s="11" t="s">
        <v>109</v>
      </c>
      <c r="L17" s="11" t="s">
        <v>110</v>
      </c>
      <c r="M17" s="12" t="s">
        <v>111</v>
      </c>
    </row>
    <row r="18" ht="82" spans="1:13">
      <c r="A18" s="7" t="s">
        <v>1390</v>
      </c>
      <c r="B18" s="8" t="s">
        <v>1295</v>
      </c>
      <c r="C18" s="8" t="s">
        <v>1391</v>
      </c>
      <c r="D18" s="8" t="s">
        <v>1392</v>
      </c>
      <c r="E18" s="8" t="s">
        <v>1393</v>
      </c>
      <c r="F18" s="8" t="s">
        <v>1394</v>
      </c>
      <c r="G18" s="8" t="s">
        <v>276</v>
      </c>
      <c r="H18" s="8" t="s">
        <v>1395</v>
      </c>
      <c r="I18" s="8" t="s">
        <v>1396</v>
      </c>
      <c r="J18" s="8" t="s">
        <v>1397</v>
      </c>
      <c r="K18" s="8" t="s">
        <v>109</v>
      </c>
      <c r="L18" s="8" t="s">
        <v>110</v>
      </c>
      <c r="M18" s="9" t="s">
        <v>111</v>
      </c>
    </row>
    <row r="19" ht="28" spans="1:13">
      <c r="A19" s="10" t="s">
        <v>1398</v>
      </c>
      <c r="B19" s="11" t="s">
        <v>1311</v>
      </c>
      <c r="C19" s="11" t="s">
        <v>1399</v>
      </c>
      <c r="D19" s="11" t="s">
        <v>1400</v>
      </c>
      <c r="E19" s="11" t="s">
        <v>1401</v>
      </c>
      <c r="F19" s="11" t="s">
        <v>1402</v>
      </c>
      <c r="G19" s="11" t="s">
        <v>276</v>
      </c>
      <c r="H19" s="11" t="s">
        <v>989</v>
      </c>
      <c r="I19" s="11" t="s">
        <v>108</v>
      </c>
      <c r="J19" s="11" t="s">
        <v>990</v>
      </c>
      <c r="K19" s="11" t="s">
        <v>121</v>
      </c>
      <c r="L19" s="11" t="s">
        <v>110</v>
      </c>
      <c r="M19" s="12" t="s">
        <v>111</v>
      </c>
    </row>
    <row r="20" ht="28" spans="1:13">
      <c r="A20" s="7" t="s">
        <v>1403</v>
      </c>
      <c r="B20" s="8" t="s">
        <v>1311</v>
      </c>
      <c r="C20" s="8" t="s">
        <v>1404</v>
      </c>
      <c r="D20" s="8" t="s">
        <v>1405</v>
      </c>
      <c r="E20" s="8" t="s">
        <v>1406</v>
      </c>
      <c r="F20" s="8" t="s">
        <v>1407</v>
      </c>
      <c r="G20" s="8" t="s">
        <v>276</v>
      </c>
      <c r="H20" s="8" t="s">
        <v>598</v>
      </c>
      <c r="I20" s="8" t="s">
        <v>599</v>
      </c>
      <c r="J20" s="8" t="s">
        <v>600</v>
      </c>
      <c r="K20" s="8" t="s">
        <v>109</v>
      </c>
      <c r="L20" s="8" t="s">
        <v>110</v>
      </c>
      <c r="M20" s="9" t="s">
        <v>111</v>
      </c>
    </row>
    <row r="21" ht="28" spans="1:13">
      <c r="A21" s="10" t="s">
        <v>1408</v>
      </c>
      <c r="B21" s="11" t="s">
        <v>1311</v>
      </c>
      <c r="C21" s="11" t="s">
        <v>1409</v>
      </c>
      <c r="D21" s="11" t="s">
        <v>1410</v>
      </c>
      <c r="E21" s="11" t="s">
        <v>1411</v>
      </c>
      <c r="F21" s="11" t="s">
        <v>1412</v>
      </c>
      <c r="G21" s="11" t="s">
        <v>276</v>
      </c>
      <c r="H21" s="11" t="s">
        <v>1413</v>
      </c>
      <c r="I21" s="11" t="s">
        <v>1331</v>
      </c>
      <c r="J21" s="11" t="s">
        <v>1332</v>
      </c>
      <c r="K21" s="11" t="s">
        <v>109</v>
      </c>
      <c r="L21" s="11" t="s">
        <v>110</v>
      </c>
      <c r="M21" s="12" t="s">
        <v>111</v>
      </c>
    </row>
    <row r="22" ht="28" spans="1:13">
      <c r="A22" s="7" t="s">
        <v>1414</v>
      </c>
      <c r="B22" s="8" t="s">
        <v>1342</v>
      </c>
      <c r="C22" s="8" t="s">
        <v>1415</v>
      </c>
      <c r="D22" s="8" t="s">
        <v>1416</v>
      </c>
      <c r="E22" s="8" t="s">
        <v>1417</v>
      </c>
      <c r="F22" s="8" t="s">
        <v>1418</v>
      </c>
      <c r="G22" s="8" t="s">
        <v>276</v>
      </c>
      <c r="H22" s="8" t="s">
        <v>598</v>
      </c>
      <c r="I22" s="8" t="s">
        <v>599</v>
      </c>
      <c r="J22" s="8" t="s">
        <v>600</v>
      </c>
      <c r="K22" s="8" t="s">
        <v>109</v>
      </c>
      <c r="L22" s="8" t="s">
        <v>110</v>
      </c>
      <c r="M22" s="9" t="s">
        <v>111</v>
      </c>
    </row>
    <row r="23" ht="28" spans="1:13">
      <c r="A23" s="10" t="s">
        <v>1419</v>
      </c>
      <c r="B23" s="11" t="s">
        <v>1342</v>
      </c>
      <c r="C23" s="11" t="s">
        <v>1420</v>
      </c>
      <c r="D23" s="11" t="s">
        <v>1421</v>
      </c>
      <c r="E23" s="11" t="s">
        <v>1422</v>
      </c>
      <c r="F23" s="11" t="s">
        <v>1423</v>
      </c>
      <c r="G23" s="11" t="s">
        <v>276</v>
      </c>
      <c r="H23" s="11" t="s">
        <v>598</v>
      </c>
      <c r="I23" s="11" t="s">
        <v>599</v>
      </c>
      <c r="J23" s="11" t="s">
        <v>600</v>
      </c>
      <c r="K23" s="11" t="s">
        <v>109</v>
      </c>
      <c r="L23" s="11" t="s">
        <v>110</v>
      </c>
      <c r="M23" s="12" t="s">
        <v>111</v>
      </c>
    </row>
    <row r="24" spans="1:13">
      <c r="A24" s="7" t="s">
        <v>1424</v>
      </c>
      <c r="B24" s="8" t="s">
        <v>1342</v>
      </c>
      <c r="C24" s="8" t="s">
        <v>1425</v>
      </c>
      <c r="D24" s="8" t="s">
        <v>1426</v>
      </c>
      <c r="E24" s="8" t="s">
        <v>1427</v>
      </c>
      <c r="F24" s="8" t="s">
        <v>1428</v>
      </c>
      <c r="G24" s="8" t="s">
        <v>276</v>
      </c>
      <c r="H24" s="8" t="s">
        <v>1429</v>
      </c>
      <c r="I24" s="8" t="s">
        <v>413</v>
      </c>
      <c r="J24" s="8" t="s">
        <v>1430</v>
      </c>
      <c r="K24" s="8" t="s">
        <v>109</v>
      </c>
      <c r="L24" s="8" t="s">
        <v>110</v>
      </c>
      <c r="M24" s="9" t="s">
        <v>111</v>
      </c>
    </row>
    <row r="25" ht="28" spans="1:13">
      <c r="A25" s="10" t="s">
        <v>1431</v>
      </c>
      <c r="B25" s="11" t="s">
        <v>1342</v>
      </c>
      <c r="C25" s="11" t="s">
        <v>1432</v>
      </c>
      <c r="D25" s="11" t="s">
        <v>1433</v>
      </c>
      <c r="E25" s="11" t="s">
        <v>1434</v>
      </c>
      <c r="F25" s="11" t="s">
        <v>1435</v>
      </c>
      <c r="G25" s="11" t="s">
        <v>276</v>
      </c>
      <c r="H25" s="11" t="s">
        <v>598</v>
      </c>
      <c r="I25" s="11" t="s">
        <v>599</v>
      </c>
      <c r="J25" s="11" t="s">
        <v>600</v>
      </c>
      <c r="K25" s="11" t="s">
        <v>109</v>
      </c>
      <c r="L25" s="11" t="s">
        <v>110</v>
      </c>
      <c r="M25" s="12" t="s">
        <v>111</v>
      </c>
    </row>
    <row r="26" ht="28" spans="1:13">
      <c r="A26" s="16" t="s">
        <v>1436</v>
      </c>
      <c r="B26" s="17" t="s">
        <v>1377</v>
      </c>
      <c r="C26" s="17" t="s">
        <v>1437</v>
      </c>
      <c r="D26" s="17" t="s">
        <v>1438</v>
      </c>
      <c r="E26" s="17" t="s">
        <v>1439</v>
      </c>
      <c r="F26" s="17" t="s">
        <v>1440</v>
      </c>
      <c r="G26" s="17" t="s">
        <v>276</v>
      </c>
      <c r="H26" s="17" t="s">
        <v>947</v>
      </c>
      <c r="I26" s="17" t="s">
        <v>948</v>
      </c>
      <c r="J26" s="17" t="s">
        <v>949</v>
      </c>
      <c r="K26" s="17" t="s">
        <v>109</v>
      </c>
      <c r="L26" s="17" t="s">
        <v>110</v>
      </c>
      <c r="M26" s="18" t="s">
        <v>111</v>
      </c>
    </row>
  </sheetData>
  <mergeCells count="2">
    <mergeCell ref="A1:M1"/>
    <mergeCell ref="A2:M2"/>
  </mergeCell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
  <sheetViews>
    <sheetView showGridLines="0" zoomScale="92" zoomScaleNormal="92" topLeftCell="A39" workbookViewId="0">
      <selection activeCell="A51" sqref="$A51:$XFD51"/>
    </sheetView>
  </sheetViews>
  <sheetFormatPr defaultColWidth="9" defaultRowHeight="16.8"/>
  <cols>
    <col min="1" max="1" width="10" customWidth="1"/>
    <col min="2" max="2" width="11" customWidth="1"/>
    <col min="3" max="3" width="12" customWidth="1"/>
    <col min="4" max="4" width="26" customWidth="1"/>
    <col min="5" max="5" width="45" customWidth="1"/>
    <col min="6" max="6" width="48" customWidth="1"/>
    <col min="7" max="7" width="22" customWidth="1"/>
    <col min="8" max="8" width="42" customWidth="1"/>
    <col min="9" max="9" width="12" customWidth="1"/>
    <col min="10" max="10" width="14" customWidth="1"/>
    <col min="11" max="11" width="12" customWidth="1"/>
    <col min="12" max="12" width="28" customWidth="1"/>
    <col min="13" max="13" width="45" customWidth="1"/>
    <col min="14" max="14" width="16" customWidth="1"/>
    <col min="15" max="15" width="10" customWidth="1"/>
    <col min="16" max="16" width="12" customWidth="1"/>
  </cols>
  <sheetData>
    <row r="1" ht="32" customHeight="1" spans="1:16">
      <c r="A1" s="1" t="s">
        <v>1441</v>
      </c>
      <c r="B1" s="1"/>
      <c r="C1" s="1"/>
      <c r="D1" s="1"/>
      <c r="E1" s="1"/>
      <c r="F1" s="1"/>
      <c r="G1" s="1"/>
      <c r="H1" s="1"/>
      <c r="I1" s="1"/>
      <c r="J1" s="1"/>
      <c r="K1" s="1"/>
      <c r="L1" s="1"/>
      <c r="M1" s="1"/>
      <c r="N1" s="1"/>
      <c r="O1" s="1"/>
      <c r="P1" s="1"/>
    </row>
    <row r="2" ht="34" customHeight="1" spans="1:16">
      <c r="A2" s="2" t="s">
        <v>1442</v>
      </c>
      <c r="B2" s="2"/>
      <c r="C2" s="2"/>
      <c r="D2" s="2"/>
      <c r="E2" s="2"/>
      <c r="F2" s="2"/>
      <c r="G2" s="2"/>
      <c r="H2" s="2"/>
      <c r="I2" s="2"/>
      <c r="J2" s="2"/>
      <c r="K2" s="2"/>
      <c r="L2" s="2"/>
      <c r="M2" s="2"/>
      <c r="N2" s="2"/>
      <c r="O2" s="2"/>
      <c r="P2" s="2"/>
    </row>
    <row r="4" ht="32" customHeight="1" spans="1:16">
      <c r="A4" s="3" t="s">
        <v>78</v>
      </c>
      <c r="B4" s="3" t="s">
        <v>79</v>
      </c>
      <c r="C4" s="3" t="s">
        <v>1443</v>
      </c>
      <c r="D4" s="3" t="s">
        <v>91</v>
      </c>
      <c r="E4" s="3" t="s">
        <v>1444</v>
      </c>
      <c r="F4" s="3" t="s">
        <v>1445</v>
      </c>
      <c r="G4" s="3" t="s">
        <v>1446</v>
      </c>
      <c r="H4" s="3" t="s">
        <v>371</v>
      </c>
      <c r="I4" s="3" t="s">
        <v>88</v>
      </c>
      <c r="J4" s="3" t="s">
        <v>89</v>
      </c>
      <c r="K4" s="3" t="s">
        <v>90</v>
      </c>
      <c r="L4" s="3" t="s">
        <v>1447</v>
      </c>
      <c r="M4" s="3" t="s">
        <v>372</v>
      </c>
      <c r="N4" s="3" t="s">
        <v>92</v>
      </c>
      <c r="O4" s="3" t="s">
        <v>93</v>
      </c>
      <c r="P4" s="3" t="s">
        <v>94</v>
      </c>
    </row>
    <row r="5" spans="1:16">
      <c r="A5" s="4" t="s">
        <v>1448</v>
      </c>
      <c r="B5" s="5" t="s">
        <v>1449</v>
      </c>
      <c r="C5" s="5" t="s">
        <v>1450</v>
      </c>
      <c r="D5" s="5" t="s">
        <v>1451</v>
      </c>
      <c r="E5" s="5" t="s">
        <v>1452</v>
      </c>
      <c r="F5" s="5" t="s">
        <v>1453</v>
      </c>
      <c r="G5" s="5" t="s">
        <v>1454</v>
      </c>
      <c r="H5" s="5" t="s">
        <v>1455</v>
      </c>
      <c r="I5" s="5" t="s">
        <v>105</v>
      </c>
      <c r="J5" s="5" t="s">
        <v>1456</v>
      </c>
      <c r="K5" s="5" t="s">
        <v>1457</v>
      </c>
      <c r="L5" s="5" t="s">
        <v>1451</v>
      </c>
      <c r="M5" s="5" t="s">
        <v>1458</v>
      </c>
      <c r="N5" s="5" t="s">
        <v>109</v>
      </c>
      <c r="O5" s="5" t="s">
        <v>110</v>
      </c>
      <c r="P5" s="6" t="s">
        <v>111</v>
      </c>
    </row>
    <row r="6" spans="1:16">
      <c r="A6" s="7" t="s">
        <v>1459</v>
      </c>
      <c r="B6" s="8" t="s">
        <v>1449</v>
      </c>
      <c r="C6" s="8" t="s">
        <v>1460</v>
      </c>
      <c r="D6" s="8" t="s">
        <v>1461</v>
      </c>
      <c r="E6" s="8" t="s">
        <v>1462</v>
      </c>
      <c r="F6" s="8" t="s">
        <v>1463</v>
      </c>
      <c r="G6" s="8" t="s">
        <v>1464</v>
      </c>
      <c r="H6" s="8" t="s">
        <v>1465</v>
      </c>
      <c r="I6" s="8" t="s">
        <v>105</v>
      </c>
      <c r="J6" s="8" t="s">
        <v>1456</v>
      </c>
      <c r="K6" s="8" t="s">
        <v>155</v>
      </c>
      <c r="L6" s="8" t="s">
        <v>156</v>
      </c>
      <c r="M6" s="8" t="s">
        <v>529</v>
      </c>
      <c r="N6" s="8" t="s">
        <v>109</v>
      </c>
      <c r="O6" s="8" t="s">
        <v>110</v>
      </c>
      <c r="P6" s="9" t="s">
        <v>111</v>
      </c>
    </row>
    <row r="7" ht="28" spans="1:16">
      <c r="A7" s="10" t="s">
        <v>1466</v>
      </c>
      <c r="B7" s="11" t="s">
        <v>1449</v>
      </c>
      <c r="C7" s="11" t="s">
        <v>1467</v>
      </c>
      <c r="D7" s="11" t="s">
        <v>1468</v>
      </c>
      <c r="E7" s="11" t="s">
        <v>1469</v>
      </c>
      <c r="F7" s="11" t="s">
        <v>1470</v>
      </c>
      <c r="G7" s="11" t="s">
        <v>1471</v>
      </c>
      <c r="H7" s="11" t="s">
        <v>1472</v>
      </c>
      <c r="I7" s="11" t="s">
        <v>105</v>
      </c>
      <c r="J7" s="11" t="s">
        <v>1456</v>
      </c>
      <c r="K7" s="11" t="s">
        <v>1473</v>
      </c>
      <c r="L7" s="11" t="s">
        <v>1468</v>
      </c>
      <c r="M7" s="11" t="s">
        <v>1474</v>
      </c>
      <c r="N7" s="11" t="s">
        <v>109</v>
      </c>
      <c r="O7" s="11" t="s">
        <v>110</v>
      </c>
      <c r="P7" s="12" t="s">
        <v>111</v>
      </c>
    </row>
    <row r="8" ht="28" spans="1:16">
      <c r="A8" s="7" t="s">
        <v>1475</v>
      </c>
      <c r="B8" s="8" t="s">
        <v>1476</v>
      </c>
      <c r="C8" s="8" t="s">
        <v>905</v>
      </c>
      <c r="D8" s="8" t="s">
        <v>1477</v>
      </c>
      <c r="E8" s="8" t="s">
        <v>1478</v>
      </c>
      <c r="F8" s="8" t="s">
        <v>1479</v>
      </c>
      <c r="G8" s="8" t="s">
        <v>1480</v>
      </c>
      <c r="H8" s="8" t="s">
        <v>1481</v>
      </c>
      <c r="I8" s="8" t="s">
        <v>105</v>
      </c>
      <c r="J8" s="8" t="s">
        <v>1456</v>
      </c>
      <c r="K8" s="8" t="s">
        <v>1330</v>
      </c>
      <c r="L8" s="8" t="s">
        <v>1331</v>
      </c>
      <c r="M8" s="8" t="s">
        <v>1332</v>
      </c>
      <c r="N8" s="8" t="s">
        <v>109</v>
      </c>
      <c r="O8" s="8" t="s">
        <v>110</v>
      </c>
      <c r="P8" s="9" t="s">
        <v>111</v>
      </c>
    </row>
    <row r="9" ht="28" spans="1:16">
      <c r="A9" s="10" t="s">
        <v>1482</v>
      </c>
      <c r="B9" s="11" t="s">
        <v>1476</v>
      </c>
      <c r="C9" s="11" t="s">
        <v>1460</v>
      </c>
      <c r="D9" s="11" t="s">
        <v>1323</v>
      </c>
      <c r="E9" s="11" t="s">
        <v>1483</v>
      </c>
      <c r="F9" s="11" t="s">
        <v>1484</v>
      </c>
      <c r="G9" s="11" t="s">
        <v>1485</v>
      </c>
      <c r="H9" s="11" t="s">
        <v>1486</v>
      </c>
      <c r="I9" s="11" t="s">
        <v>105</v>
      </c>
      <c r="J9" s="11" t="s">
        <v>1456</v>
      </c>
      <c r="K9" s="11" t="s">
        <v>1487</v>
      </c>
      <c r="L9" s="11" t="s">
        <v>1323</v>
      </c>
      <c r="M9" s="11" t="s">
        <v>1488</v>
      </c>
      <c r="N9" s="11" t="s">
        <v>109</v>
      </c>
      <c r="O9" s="11" t="s">
        <v>110</v>
      </c>
      <c r="P9" s="12" t="s">
        <v>111</v>
      </c>
    </row>
    <row r="10" ht="28" spans="1:16">
      <c r="A10" s="7" t="s">
        <v>1489</v>
      </c>
      <c r="B10" s="8" t="s">
        <v>1490</v>
      </c>
      <c r="C10" s="8" t="s">
        <v>1491</v>
      </c>
      <c r="D10" s="8" t="s">
        <v>108</v>
      </c>
      <c r="E10" s="8" t="s">
        <v>1492</v>
      </c>
      <c r="F10" s="8" t="s">
        <v>1493</v>
      </c>
      <c r="G10" s="8" t="s">
        <v>1494</v>
      </c>
      <c r="H10" s="8" t="s">
        <v>1495</v>
      </c>
      <c r="I10" s="8" t="s">
        <v>105</v>
      </c>
      <c r="J10" s="8" t="s">
        <v>1456</v>
      </c>
      <c r="K10" s="8" t="s">
        <v>107</v>
      </c>
      <c r="L10" s="8" t="s">
        <v>108</v>
      </c>
      <c r="M10" s="8" t="s">
        <v>1067</v>
      </c>
      <c r="N10" s="8" t="s">
        <v>109</v>
      </c>
      <c r="O10" s="8" t="s">
        <v>110</v>
      </c>
      <c r="P10" s="9" t="s">
        <v>111</v>
      </c>
    </row>
    <row r="11" ht="28" spans="1:16">
      <c r="A11" s="10" t="s">
        <v>1496</v>
      </c>
      <c r="B11" s="11" t="s">
        <v>1490</v>
      </c>
      <c r="C11" s="11" t="s">
        <v>1497</v>
      </c>
      <c r="D11" s="11" t="s">
        <v>108</v>
      </c>
      <c r="E11" s="11" t="s">
        <v>1498</v>
      </c>
      <c r="F11" s="11" t="s">
        <v>1499</v>
      </c>
      <c r="G11" s="11" t="s">
        <v>1500</v>
      </c>
      <c r="H11" s="11" t="s">
        <v>1501</v>
      </c>
      <c r="I11" s="11" t="s">
        <v>105</v>
      </c>
      <c r="J11" s="11" t="s">
        <v>1456</v>
      </c>
      <c r="K11" s="11" t="s">
        <v>1502</v>
      </c>
      <c r="L11" s="11" t="s">
        <v>108</v>
      </c>
      <c r="M11" s="11" t="s">
        <v>1503</v>
      </c>
      <c r="N11" s="11" t="s">
        <v>109</v>
      </c>
      <c r="O11" s="11" t="s">
        <v>110</v>
      </c>
      <c r="P11" s="12" t="s">
        <v>111</v>
      </c>
    </row>
    <row r="12" ht="28" spans="1:16">
      <c r="A12" s="7" t="s">
        <v>1504</v>
      </c>
      <c r="B12" s="8" t="s">
        <v>1490</v>
      </c>
      <c r="C12" s="8" t="s">
        <v>1505</v>
      </c>
      <c r="D12" s="8" t="s">
        <v>108</v>
      </c>
      <c r="E12" s="8" t="s">
        <v>1506</v>
      </c>
      <c r="F12" s="8" t="s">
        <v>1507</v>
      </c>
      <c r="G12" s="8" t="s">
        <v>1508</v>
      </c>
      <c r="H12" s="8" t="s">
        <v>1509</v>
      </c>
      <c r="I12" s="8" t="s">
        <v>105</v>
      </c>
      <c r="J12" s="8" t="s">
        <v>1456</v>
      </c>
      <c r="K12" s="8" t="s">
        <v>1510</v>
      </c>
      <c r="L12" s="8" t="s">
        <v>108</v>
      </c>
      <c r="M12" s="8" t="s">
        <v>1511</v>
      </c>
      <c r="N12" s="8" t="s">
        <v>109</v>
      </c>
      <c r="O12" s="8" t="s">
        <v>110</v>
      </c>
      <c r="P12" s="9" t="s">
        <v>111</v>
      </c>
    </row>
    <row r="13" ht="28" spans="1:16">
      <c r="A13" s="10" t="s">
        <v>1512</v>
      </c>
      <c r="B13" s="11" t="s">
        <v>1490</v>
      </c>
      <c r="C13" s="11" t="s">
        <v>1460</v>
      </c>
      <c r="D13" s="11" t="s">
        <v>1513</v>
      </c>
      <c r="E13" s="11" t="s">
        <v>1514</v>
      </c>
      <c r="F13" s="11" t="s">
        <v>1515</v>
      </c>
      <c r="G13" s="11" t="s">
        <v>1516</v>
      </c>
      <c r="H13" s="11" t="s">
        <v>1517</v>
      </c>
      <c r="I13" s="11" t="s">
        <v>105</v>
      </c>
      <c r="J13" s="11" t="s">
        <v>1456</v>
      </c>
      <c r="K13" s="11" t="s">
        <v>1518</v>
      </c>
      <c r="L13" s="11" t="s">
        <v>1519</v>
      </c>
      <c r="M13" s="11" t="s">
        <v>1520</v>
      </c>
      <c r="N13" s="11" t="s">
        <v>109</v>
      </c>
      <c r="O13" s="11" t="s">
        <v>110</v>
      </c>
      <c r="P13" s="12" t="s">
        <v>111</v>
      </c>
    </row>
    <row r="14" ht="28" spans="1:16">
      <c r="A14" s="7" t="s">
        <v>1521</v>
      </c>
      <c r="B14" s="8" t="s">
        <v>1490</v>
      </c>
      <c r="C14" s="8" t="s">
        <v>1522</v>
      </c>
      <c r="D14" s="8" t="s">
        <v>1513</v>
      </c>
      <c r="E14" s="8" t="s">
        <v>1523</v>
      </c>
      <c r="F14" s="8" t="s">
        <v>1524</v>
      </c>
      <c r="G14" s="8" t="s">
        <v>1525</v>
      </c>
      <c r="H14" s="8" t="s">
        <v>1526</v>
      </c>
      <c r="I14" s="8" t="s">
        <v>105</v>
      </c>
      <c r="J14" s="8" t="s">
        <v>1456</v>
      </c>
      <c r="K14" s="8" t="s">
        <v>1527</v>
      </c>
      <c r="L14" s="8" t="s">
        <v>505</v>
      </c>
      <c r="M14" s="8" t="s">
        <v>1528</v>
      </c>
      <c r="N14" s="8" t="s">
        <v>109</v>
      </c>
      <c r="O14" s="8" t="s">
        <v>110</v>
      </c>
      <c r="P14" s="9" t="s">
        <v>111</v>
      </c>
    </row>
    <row r="15" ht="28" spans="1:16">
      <c r="A15" s="10" t="s">
        <v>1529</v>
      </c>
      <c r="B15" s="11" t="s">
        <v>1490</v>
      </c>
      <c r="C15" s="11" t="s">
        <v>1460</v>
      </c>
      <c r="D15" s="11" t="s">
        <v>1530</v>
      </c>
      <c r="E15" s="11" t="s">
        <v>1531</v>
      </c>
      <c r="F15" s="11" t="s">
        <v>1532</v>
      </c>
      <c r="G15" s="11" t="s">
        <v>1533</v>
      </c>
      <c r="H15" s="11" t="s">
        <v>1534</v>
      </c>
      <c r="I15" s="11" t="s">
        <v>105</v>
      </c>
      <c r="J15" s="11" t="s">
        <v>1456</v>
      </c>
      <c r="K15" s="11" t="s">
        <v>1535</v>
      </c>
      <c r="L15" s="11" t="s">
        <v>1536</v>
      </c>
      <c r="M15" s="11" t="s">
        <v>1236</v>
      </c>
      <c r="N15" s="11" t="s">
        <v>109</v>
      </c>
      <c r="O15" s="11" t="s">
        <v>110</v>
      </c>
      <c r="P15" s="12" t="s">
        <v>111</v>
      </c>
    </row>
    <row r="16" ht="28" spans="1:16">
      <c r="A16" s="7" t="s">
        <v>1537</v>
      </c>
      <c r="B16" s="8" t="s">
        <v>1318</v>
      </c>
      <c r="C16" s="8" t="s">
        <v>1538</v>
      </c>
      <c r="D16" s="8" t="s">
        <v>1539</v>
      </c>
      <c r="E16" s="8" t="s">
        <v>1540</v>
      </c>
      <c r="F16" s="8" t="s">
        <v>1541</v>
      </c>
      <c r="G16" s="8" t="s">
        <v>1542</v>
      </c>
      <c r="H16" s="8" t="s">
        <v>1543</v>
      </c>
      <c r="I16" s="8" t="s">
        <v>105</v>
      </c>
      <c r="J16" s="8" t="s">
        <v>1456</v>
      </c>
      <c r="K16" s="8" t="s">
        <v>1322</v>
      </c>
      <c r="L16" s="8" t="s">
        <v>1323</v>
      </c>
      <c r="M16" s="8" t="s">
        <v>1324</v>
      </c>
      <c r="N16" s="8" t="s">
        <v>109</v>
      </c>
      <c r="O16" s="8" t="s">
        <v>110</v>
      </c>
      <c r="P16" s="9" t="s">
        <v>111</v>
      </c>
    </row>
    <row r="17" ht="28" spans="1:16">
      <c r="A17" s="10" t="s">
        <v>1544</v>
      </c>
      <c r="B17" s="11" t="s">
        <v>1449</v>
      </c>
      <c r="C17" s="11">
        <v>2022</v>
      </c>
      <c r="D17" s="11" t="s">
        <v>1545</v>
      </c>
      <c r="E17" s="11" t="s">
        <v>1546</v>
      </c>
      <c r="F17" s="11" t="s">
        <v>1547</v>
      </c>
      <c r="G17" s="11" t="s">
        <v>1548</v>
      </c>
      <c r="H17" s="11" t="s">
        <v>1549</v>
      </c>
      <c r="I17" s="11" t="s">
        <v>1550</v>
      </c>
      <c r="J17" s="11" t="s">
        <v>1551</v>
      </c>
      <c r="K17" s="11" t="s">
        <v>1552</v>
      </c>
      <c r="L17" s="11" t="s">
        <v>1545</v>
      </c>
      <c r="M17" s="11" t="s">
        <v>1553</v>
      </c>
      <c r="N17" s="11" t="s">
        <v>109</v>
      </c>
      <c r="O17" s="11" t="s">
        <v>203</v>
      </c>
      <c r="P17" s="12" t="s">
        <v>111</v>
      </c>
    </row>
    <row r="18" ht="28" spans="1:16">
      <c r="A18" s="7" t="s">
        <v>1554</v>
      </c>
      <c r="B18" s="8" t="s">
        <v>1449</v>
      </c>
      <c r="C18" s="8">
        <v>2023</v>
      </c>
      <c r="D18" s="8" t="s">
        <v>1555</v>
      </c>
      <c r="E18" s="8" t="s">
        <v>1556</v>
      </c>
      <c r="F18" s="8" t="s">
        <v>1557</v>
      </c>
      <c r="G18" s="8" t="s">
        <v>1558</v>
      </c>
      <c r="H18" s="8" t="s">
        <v>1559</v>
      </c>
      <c r="I18" s="8" t="s">
        <v>1550</v>
      </c>
      <c r="J18" s="8" t="s">
        <v>1551</v>
      </c>
      <c r="K18" s="8" t="s">
        <v>1560</v>
      </c>
      <c r="L18" s="8" t="s">
        <v>1555</v>
      </c>
      <c r="M18" s="8" t="s">
        <v>1561</v>
      </c>
      <c r="N18" s="8" t="s">
        <v>109</v>
      </c>
      <c r="O18" s="8" t="s">
        <v>110</v>
      </c>
      <c r="P18" s="9" t="s">
        <v>111</v>
      </c>
    </row>
    <row r="19" ht="28" spans="1:16">
      <c r="A19" s="10" t="s">
        <v>1562</v>
      </c>
      <c r="B19" s="11" t="s">
        <v>1449</v>
      </c>
      <c r="C19" s="11">
        <v>2023</v>
      </c>
      <c r="D19" s="11" t="s">
        <v>1563</v>
      </c>
      <c r="E19" s="11" t="s">
        <v>1564</v>
      </c>
      <c r="F19" s="11" t="s">
        <v>1565</v>
      </c>
      <c r="G19" s="11" t="s">
        <v>1566</v>
      </c>
      <c r="H19" s="11" t="s">
        <v>1567</v>
      </c>
      <c r="I19" s="11" t="s">
        <v>1550</v>
      </c>
      <c r="J19" s="11" t="s">
        <v>1551</v>
      </c>
      <c r="K19" s="11" t="s">
        <v>1568</v>
      </c>
      <c r="L19" s="11" t="s">
        <v>1563</v>
      </c>
      <c r="M19" s="11" t="s">
        <v>1569</v>
      </c>
      <c r="N19" s="11" t="s">
        <v>109</v>
      </c>
      <c r="O19" s="11" t="s">
        <v>110</v>
      </c>
      <c r="P19" s="12" t="s">
        <v>111</v>
      </c>
    </row>
    <row r="20" ht="28" spans="1:16">
      <c r="A20" s="7" t="s">
        <v>1570</v>
      </c>
      <c r="B20" s="8" t="s">
        <v>1449</v>
      </c>
      <c r="C20" s="8">
        <v>2024</v>
      </c>
      <c r="D20" s="8" t="s">
        <v>1571</v>
      </c>
      <c r="E20" s="8" t="s">
        <v>1572</v>
      </c>
      <c r="F20" s="8" t="s">
        <v>1573</v>
      </c>
      <c r="G20" s="8" t="s">
        <v>1574</v>
      </c>
      <c r="H20" s="8" t="s">
        <v>1575</v>
      </c>
      <c r="I20" s="8" t="s">
        <v>1550</v>
      </c>
      <c r="J20" s="8" t="s">
        <v>1551</v>
      </c>
      <c r="K20" s="8" t="s">
        <v>1576</v>
      </c>
      <c r="L20" s="8" t="s">
        <v>1571</v>
      </c>
      <c r="M20" s="8" t="s">
        <v>1577</v>
      </c>
      <c r="N20" s="8" t="s">
        <v>109</v>
      </c>
      <c r="O20" s="8" t="s">
        <v>110</v>
      </c>
      <c r="P20" s="9" t="s">
        <v>111</v>
      </c>
    </row>
    <row r="21" spans="1:16">
      <c r="A21" s="10" t="s">
        <v>1578</v>
      </c>
      <c r="B21" s="11" t="s">
        <v>1449</v>
      </c>
      <c r="C21" s="11">
        <v>2024</v>
      </c>
      <c r="D21" s="11" t="s">
        <v>1451</v>
      </c>
      <c r="E21" s="11" t="s">
        <v>1452</v>
      </c>
      <c r="F21" s="11" t="s">
        <v>1579</v>
      </c>
      <c r="G21" s="11" t="s">
        <v>1580</v>
      </c>
      <c r="H21" s="11" t="s">
        <v>1581</v>
      </c>
      <c r="I21" s="11" t="s">
        <v>1550</v>
      </c>
      <c r="J21" s="11" t="s">
        <v>1551</v>
      </c>
      <c r="K21" s="11" t="s">
        <v>1457</v>
      </c>
      <c r="L21" s="11" t="s">
        <v>1451</v>
      </c>
      <c r="M21" s="11" t="s">
        <v>1458</v>
      </c>
      <c r="N21" s="11" t="s">
        <v>109</v>
      </c>
      <c r="O21" s="11" t="s">
        <v>110</v>
      </c>
      <c r="P21" s="12" t="s">
        <v>111</v>
      </c>
    </row>
    <row r="22" ht="28" spans="1:16">
      <c r="A22" s="7" t="s">
        <v>1582</v>
      </c>
      <c r="B22" s="8" t="s">
        <v>1449</v>
      </c>
      <c r="C22" s="8">
        <v>2025</v>
      </c>
      <c r="D22" s="8" t="s">
        <v>1583</v>
      </c>
      <c r="E22" s="8" t="s">
        <v>1584</v>
      </c>
      <c r="F22" s="8" t="s">
        <v>1585</v>
      </c>
      <c r="G22" s="8" t="s">
        <v>1586</v>
      </c>
      <c r="H22" s="8" t="s">
        <v>1587</v>
      </c>
      <c r="I22" s="8" t="s">
        <v>1550</v>
      </c>
      <c r="J22" s="8" t="s">
        <v>1551</v>
      </c>
      <c r="K22" s="8" t="s">
        <v>1588</v>
      </c>
      <c r="L22" s="8" t="s">
        <v>1583</v>
      </c>
      <c r="M22" s="8" t="s">
        <v>1589</v>
      </c>
      <c r="N22" s="8" t="s">
        <v>109</v>
      </c>
      <c r="O22" s="8" t="s">
        <v>110</v>
      </c>
      <c r="P22" s="9" t="s">
        <v>111</v>
      </c>
    </row>
    <row r="23" ht="28" spans="1:16">
      <c r="A23" s="10" t="s">
        <v>1590</v>
      </c>
      <c r="B23" s="11" t="s">
        <v>1449</v>
      </c>
      <c r="C23" s="11">
        <v>2024</v>
      </c>
      <c r="D23" s="11" t="s">
        <v>1563</v>
      </c>
      <c r="E23" s="11" t="s">
        <v>1591</v>
      </c>
      <c r="F23" s="11" t="s">
        <v>1592</v>
      </c>
      <c r="G23" s="11" t="s">
        <v>1593</v>
      </c>
      <c r="H23" s="11" t="s">
        <v>1594</v>
      </c>
      <c r="I23" s="11" t="s">
        <v>1550</v>
      </c>
      <c r="J23" s="11" t="s">
        <v>1551</v>
      </c>
      <c r="K23" s="11" t="s">
        <v>1595</v>
      </c>
      <c r="L23" s="11" t="s">
        <v>1563</v>
      </c>
      <c r="M23" s="11" t="s">
        <v>1596</v>
      </c>
      <c r="N23" s="11" t="s">
        <v>109</v>
      </c>
      <c r="O23" s="11" t="s">
        <v>110</v>
      </c>
      <c r="P23" s="12" t="s">
        <v>111</v>
      </c>
    </row>
    <row r="24" ht="28" spans="1:16">
      <c r="A24" s="7" t="s">
        <v>1597</v>
      </c>
      <c r="B24" s="8" t="s">
        <v>1449</v>
      </c>
      <c r="C24" s="8">
        <v>2024</v>
      </c>
      <c r="D24" s="8" t="s">
        <v>156</v>
      </c>
      <c r="E24" s="8" t="s">
        <v>1598</v>
      </c>
      <c r="F24" s="8" t="s">
        <v>1599</v>
      </c>
      <c r="G24" s="8" t="s">
        <v>1600</v>
      </c>
      <c r="H24" s="8" t="s">
        <v>1601</v>
      </c>
      <c r="I24" s="8" t="s">
        <v>1550</v>
      </c>
      <c r="J24" s="8" t="s">
        <v>1551</v>
      </c>
      <c r="K24" s="8" t="s">
        <v>1602</v>
      </c>
      <c r="L24" s="8" t="s">
        <v>1603</v>
      </c>
      <c r="M24" s="8" t="s">
        <v>1604</v>
      </c>
      <c r="N24" s="8" t="s">
        <v>109</v>
      </c>
      <c r="O24" s="8" t="s">
        <v>110</v>
      </c>
      <c r="P24" s="9" t="s">
        <v>111</v>
      </c>
    </row>
    <row r="25" ht="28" spans="1:16">
      <c r="A25" s="10" t="s">
        <v>1605</v>
      </c>
      <c r="B25" s="11" t="s">
        <v>1449</v>
      </c>
      <c r="C25" s="11">
        <v>2025</v>
      </c>
      <c r="D25" s="11" t="s">
        <v>1603</v>
      </c>
      <c r="E25" s="11" t="s">
        <v>1606</v>
      </c>
      <c r="F25" s="11" t="s">
        <v>1607</v>
      </c>
      <c r="G25" s="11" t="s">
        <v>1593</v>
      </c>
      <c r="H25" s="11" t="s">
        <v>1608</v>
      </c>
      <c r="I25" s="11" t="s">
        <v>1550</v>
      </c>
      <c r="J25" s="11" t="s">
        <v>1551</v>
      </c>
      <c r="K25" s="11" t="s">
        <v>1602</v>
      </c>
      <c r="L25" s="11" t="s">
        <v>1603</v>
      </c>
      <c r="M25" s="11" t="s">
        <v>1604</v>
      </c>
      <c r="N25" s="11" t="s">
        <v>109</v>
      </c>
      <c r="O25" s="11" t="s">
        <v>110</v>
      </c>
      <c r="P25" s="12" t="s">
        <v>111</v>
      </c>
    </row>
    <row r="26" spans="1:16">
      <c r="A26" s="7" t="s">
        <v>1609</v>
      </c>
      <c r="B26" s="8" t="s">
        <v>1449</v>
      </c>
      <c r="C26" s="8">
        <v>2025</v>
      </c>
      <c r="D26" s="8" t="s">
        <v>1610</v>
      </c>
      <c r="E26" s="8" t="s">
        <v>1611</v>
      </c>
      <c r="F26" s="8" t="s">
        <v>1612</v>
      </c>
      <c r="G26" s="8" t="s">
        <v>1613</v>
      </c>
      <c r="H26" s="8" t="s">
        <v>1614</v>
      </c>
      <c r="I26" s="8" t="s">
        <v>1550</v>
      </c>
      <c r="J26" s="8" t="s">
        <v>1551</v>
      </c>
      <c r="K26" s="8" t="s">
        <v>155</v>
      </c>
      <c r="L26" s="8" t="s">
        <v>156</v>
      </c>
      <c r="M26" s="8" t="s">
        <v>529</v>
      </c>
      <c r="N26" s="8" t="s">
        <v>109</v>
      </c>
      <c r="O26" s="8" t="s">
        <v>110</v>
      </c>
      <c r="P26" s="9" t="s">
        <v>111</v>
      </c>
    </row>
    <row r="27" ht="55" spans="1:16">
      <c r="A27" s="10" t="s">
        <v>1615</v>
      </c>
      <c r="B27" s="11" t="s">
        <v>1449</v>
      </c>
      <c r="C27" s="11">
        <v>2025</v>
      </c>
      <c r="D27" s="11" t="s">
        <v>1610</v>
      </c>
      <c r="E27" s="11" t="s">
        <v>1616</v>
      </c>
      <c r="F27" s="11" t="s">
        <v>1617</v>
      </c>
      <c r="G27" s="11" t="s">
        <v>1618</v>
      </c>
      <c r="H27" s="11" t="s">
        <v>1619</v>
      </c>
      <c r="I27" s="11" t="s">
        <v>1550</v>
      </c>
      <c r="J27" s="11" t="s">
        <v>1551</v>
      </c>
      <c r="K27" s="11" t="s">
        <v>1620</v>
      </c>
      <c r="L27" s="11" t="s">
        <v>599</v>
      </c>
      <c r="M27" s="11" t="s">
        <v>1621</v>
      </c>
      <c r="N27" s="11" t="s">
        <v>109</v>
      </c>
      <c r="O27" s="11" t="s">
        <v>110</v>
      </c>
      <c r="P27" s="12" t="s">
        <v>111</v>
      </c>
    </row>
    <row r="28" spans="1:16">
      <c r="A28" s="7" t="s">
        <v>1622</v>
      </c>
      <c r="B28" s="8" t="s">
        <v>1449</v>
      </c>
      <c r="C28" s="8">
        <v>2025</v>
      </c>
      <c r="D28" s="8" t="s">
        <v>342</v>
      </c>
      <c r="E28" s="8" t="s">
        <v>1623</v>
      </c>
      <c r="F28" s="8" t="s">
        <v>1624</v>
      </c>
      <c r="G28" s="8" t="s">
        <v>1625</v>
      </c>
      <c r="H28" s="8" t="s">
        <v>1626</v>
      </c>
      <c r="I28" s="8" t="s">
        <v>1550</v>
      </c>
      <c r="J28" s="8" t="s">
        <v>1551</v>
      </c>
      <c r="K28" s="8" t="s">
        <v>1627</v>
      </c>
      <c r="L28" s="8" t="s">
        <v>342</v>
      </c>
      <c r="M28" s="8" t="s">
        <v>1628</v>
      </c>
      <c r="N28" s="8" t="s">
        <v>109</v>
      </c>
      <c r="O28" s="8" t="s">
        <v>110</v>
      </c>
      <c r="P28" s="9" t="s">
        <v>111</v>
      </c>
    </row>
    <row r="29" ht="28" spans="1:16">
      <c r="A29" s="10" t="s">
        <v>1629</v>
      </c>
      <c r="B29" s="11" t="s">
        <v>1630</v>
      </c>
      <c r="C29" s="11">
        <v>2025</v>
      </c>
      <c r="D29" s="11" t="s">
        <v>1631</v>
      </c>
      <c r="E29" s="11" t="s">
        <v>1632</v>
      </c>
      <c r="F29" s="11" t="s">
        <v>1633</v>
      </c>
      <c r="G29" s="11" t="s">
        <v>1634</v>
      </c>
      <c r="H29" s="11" t="s">
        <v>1635</v>
      </c>
      <c r="I29" s="11" t="s">
        <v>1550</v>
      </c>
      <c r="J29" s="11" t="s">
        <v>1551</v>
      </c>
      <c r="K29" s="11" t="s">
        <v>1636</v>
      </c>
      <c r="L29" s="11" t="s">
        <v>1637</v>
      </c>
      <c r="M29" s="11" t="s">
        <v>1638</v>
      </c>
      <c r="N29" s="11" t="s">
        <v>109</v>
      </c>
      <c r="O29" s="11" t="s">
        <v>110</v>
      </c>
      <c r="P29" s="12" t="s">
        <v>111</v>
      </c>
    </row>
    <row r="30" spans="1:16">
      <c r="A30" s="7" t="s">
        <v>1639</v>
      </c>
      <c r="B30" s="8" t="s">
        <v>1449</v>
      </c>
      <c r="C30" s="8" t="s">
        <v>1640</v>
      </c>
      <c r="D30" s="8" t="s">
        <v>1641</v>
      </c>
      <c r="E30" s="8" t="s">
        <v>1642</v>
      </c>
      <c r="F30" s="8" t="s">
        <v>1643</v>
      </c>
      <c r="G30" s="8" t="s">
        <v>1644</v>
      </c>
      <c r="H30" s="8" t="s">
        <v>1645</v>
      </c>
      <c r="I30" s="8" t="s">
        <v>1550</v>
      </c>
      <c r="J30" s="8" t="s">
        <v>1551</v>
      </c>
      <c r="K30" s="8" t="s">
        <v>1646</v>
      </c>
      <c r="L30" s="8" t="s">
        <v>1641</v>
      </c>
      <c r="M30" s="8" t="s">
        <v>1647</v>
      </c>
      <c r="N30" s="8" t="s">
        <v>121</v>
      </c>
      <c r="O30" s="8" t="s">
        <v>203</v>
      </c>
      <c r="P30" s="9" t="s">
        <v>111</v>
      </c>
    </row>
    <row r="31" spans="1:16">
      <c r="A31" s="10" t="s">
        <v>1648</v>
      </c>
      <c r="B31" s="11" t="s">
        <v>1449</v>
      </c>
      <c r="C31" s="11">
        <v>2026</v>
      </c>
      <c r="D31" s="11" t="s">
        <v>1649</v>
      </c>
      <c r="E31" s="11" t="s">
        <v>1650</v>
      </c>
      <c r="F31" s="11" t="s">
        <v>1651</v>
      </c>
      <c r="G31" s="11" t="s">
        <v>1652</v>
      </c>
      <c r="H31" s="11" t="s">
        <v>1653</v>
      </c>
      <c r="I31" s="11" t="s">
        <v>1550</v>
      </c>
      <c r="J31" s="11" t="s">
        <v>1551</v>
      </c>
      <c r="K31" s="11" t="s">
        <v>1654</v>
      </c>
      <c r="L31" s="11" t="s">
        <v>1649</v>
      </c>
      <c r="M31" s="11" t="s">
        <v>1655</v>
      </c>
      <c r="N31" s="11" t="s">
        <v>109</v>
      </c>
      <c r="O31" s="11" t="s">
        <v>110</v>
      </c>
      <c r="P31" s="12" t="s">
        <v>111</v>
      </c>
    </row>
    <row r="32" spans="1:16">
      <c r="A32" s="7" t="s">
        <v>1656</v>
      </c>
      <c r="B32" s="8" t="s">
        <v>1449</v>
      </c>
      <c r="C32" s="8">
        <v>2026</v>
      </c>
      <c r="D32" s="8" t="s">
        <v>1657</v>
      </c>
      <c r="E32" s="8" t="s">
        <v>1658</v>
      </c>
      <c r="F32" s="8" t="s">
        <v>1659</v>
      </c>
      <c r="G32" s="8" t="s">
        <v>1660</v>
      </c>
      <c r="H32" s="8" t="s">
        <v>1661</v>
      </c>
      <c r="I32" s="8" t="s">
        <v>1550</v>
      </c>
      <c r="J32" s="8" t="s">
        <v>1551</v>
      </c>
      <c r="K32" s="8" t="s">
        <v>1662</v>
      </c>
      <c r="L32" s="8" t="s">
        <v>1657</v>
      </c>
      <c r="M32" s="8" t="s">
        <v>1663</v>
      </c>
      <c r="N32" s="8" t="s">
        <v>121</v>
      </c>
      <c r="O32" s="8" t="s">
        <v>110</v>
      </c>
      <c r="P32" s="9" t="s">
        <v>111</v>
      </c>
    </row>
    <row r="33" ht="28" spans="1:16">
      <c r="A33" s="10" t="s">
        <v>1664</v>
      </c>
      <c r="B33" s="11" t="s">
        <v>1449</v>
      </c>
      <c r="C33" s="11">
        <v>2020</v>
      </c>
      <c r="D33" s="11" t="s">
        <v>1665</v>
      </c>
      <c r="E33" s="11" t="s">
        <v>1666</v>
      </c>
      <c r="F33" s="11" t="s">
        <v>1667</v>
      </c>
      <c r="G33" s="11" t="s">
        <v>1668</v>
      </c>
      <c r="H33" s="11" t="s">
        <v>1669</v>
      </c>
      <c r="I33" s="11" t="s">
        <v>1550</v>
      </c>
      <c r="J33" s="11" t="s">
        <v>1551</v>
      </c>
      <c r="K33" s="11" t="s">
        <v>1670</v>
      </c>
      <c r="L33" s="11" t="s">
        <v>1603</v>
      </c>
      <c r="M33" s="11" t="s">
        <v>1671</v>
      </c>
      <c r="N33" s="11" t="s">
        <v>109</v>
      </c>
      <c r="O33" s="11" t="s">
        <v>110</v>
      </c>
      <c r="P33" s="12" t="s">
        <v>111</v>
      </c>
    </row>
    <row r="34" ht="28" spans="1:16">
      <c r="A34" s="7" t="s">
        <v>1672</v>
      </c>
      <c r="B34" s="8" t="s">
        <v>1449</v>
      </c>
      <c r="C34" s="8">
        <v>2023</v>
      </c>
      <c r="D34" s="8" t="s">
        <v>1665</v>
      </c>
      <c r="E34" s="8" t="s">
        <v>1673</v>
      </c>
      <c r="F34" s="8" t="s">
        <v>1674</v>
      </c>
      <c r="G34" s="8" t="s">
        <v>1668</v>
      </c>
      <c r="H34" s="8" t="s">
        <v>1675</v>
      </c>
      <c r="I34" s="8" t="s">
        <v>1550</v>
      </c>
      <c r="J34" s="8" t="s">
        <v>1551</v>
      </c>
      <c r="K34" s="8" t="s">
        <v>1676</v>
      </c>
      <c r="L34" s="8" t="s">
        <v>1603</v>
      </c>
      <c r="M34" s="8" t="s">
        <v>1677</v>
      </c>
      <c r="N34" s="8" t="s">
        <v>109</v>
      </c>
      <c r="O34" s="8" t="s">
        <v>110</v>
      </c>
      <c r="P34" s="9" t="s">
        <v>111</v>
      </c>
    </row>
    <row r="35" ht="28" spans="1:16">
      <c r="A35" s="10" t="s">
        <v>1678</v>
      </c>
      <c r="B35" s="11" t="s">
        <v>1476</v>
      </c>
      <c r="C35" s="11">
        <v>2025</v>
      </c>
      <c r="D35" s="11" t="s">
        <v>1331</v>
      </c>
      <c r="E35" s="11" t="s">
        <v>1679</v>
      </c>
      <c r="F35" s="11" t="s">
        <v>1680</v>
      </c>
      <c r="G35" s="11" t="s">
        <v>1681</v>
      </c>
      <c r="H35" s="11" t="s">
        <v>1682</v>
      </c>
      <c r="I35" s="11" t="s">
        <v>1550</v>
      </c>
      <c r="J35" s="11" t="s">
        <v>1551</v>
      </c>
      <c r="K35" s="11" t="s">
        <v>1683</v>
      </c>
      <c r="L35" s="11" t="s">
        <v>1331</v>
      </c>
      <c r="M35" s="11" t="s">
        <v>1684</v>
      </c>
      <c r="N35" s="11" t="s">
        <v>109</v>
      </c>
      <c r="O35" s="11" t="s">
        <v>110</v>
      </c>
      <c r="P35" s="12" t="s">
        <v>111</v>
      </c>
    </row>
    <row r="36" ht="28" spans="1:16">
      <c r="A36" s="7" t="s">
        <v>1685</v>
      </c>
      <c r="B36" s="8" t="s">
        <v>1476</v>
      </c>
      <c r="C36" s="8">
        <v>2025</v>
      </c>
      <c r="D36" s="8" t="s">
        <v>1686</v>
      </c>
      <c r="E36" s="8" t="s">
        <v>1687</v>
      </c>
      <c r="F36" s="8" t="s">
        <v>1688</v>
      </c>
      <c r="G36" s="8" t="s">
        <v>1689</v>
      </c>
      <c r="H36" s="8" t="s">
        <v>1690</v>
      </c>
      <c r="I36" s="8" t="s">
        <v>1550</v>
      </c>
      <c r="J36" s="8" t="s">
        <v>1551</v>
      </c>
      <c r="K36" s="8" t="s">
        <v>1691</v>
      </c>
      <c r="L36" s="8" t="s">
        <v>1686</v>
      </c>
      <c r="M36" s="8" t="s">
        <v>1692</v>
      </c>
      <c r="N36" s="8" t="s">
        <v>109</v>
      </c>
      <c r="O36" s="8" t="s">
        <v>110</v>
      </c>
      <c r="P36" s="9" t="s">
        <v>111</v>
      </c>
    </row>
    <row r="37" spans="1:16">
      <c r="A37" s="10" t="s">
        <v>1693</v>
      </c>
      <c r="B37" s="11" t="s">
        <v>1476</v>
      </c>
      <c r="C37" s="11">
        <v>2025</v>
      </c>
      <c r="D37" s="11" t="s">
        <v>1694</v>
      </c>
      <c r="E37" s="11" t="s">
        <v>1695</v>
      </c>
      <c r="F37" s="11" t="s">
        <v>1696</v>
      </c>
      <c r="G37" s="11" t="s">
        <v>1697</v>
      </c>
      <c r="H37" s="11" t="s">
        <v>1698</v>
      </c>
      <c r="I37" s="11" t="s">
        <v>1550</v>
      </c>
      <c r="J37" s="11" t="s">
        <v>1551</v>
      </c>
      <c r="K37" s="11" t="s">
        <v>1699</v>
      </c>
      <c r="L37" s="11" t="s">
        <v>1694</v>
      </c>
      <c r="M37" s="11" t="s">
        <v>1700</v>
      </c>
      <c r="N37" s="11" t="s">
        <v>109</v>
      </c>
      <c r="O37" s="11" t="s">
        <v>110</v>
      </c>
      <c r="P37" s="12" t="s">
        <v>111</v>
      </c>
    </row>
    <row r="38" ht="28" spans="1:16">
      <c r="A38" s="7" t="s">
        <v>1701</v>
      </c>
      <c r="B38" s="8" t="s">
        <v>1476</v>
      </c>
      <c r="C38" s="8">
        <v>2025</v>
      </c>
      <c r="D38" s="8" t="s">
        <v>983</v>
      </c>
      <c r="E38" s="8" t="s">
        <v>1702</v>
      </c>
      <c r="F38" s="8" t="s">
        <v>1703</v>
      </c>
      <c r="G38" s="8" t="s">
        <v>1704</v>
      </c>
      <c r="H38" s="8" t="s">
        <v>1705</v>
      </c>
      <c r="I38" s="8" t="s">
        <v>1550</v>
      </c>
      <c r="J38" s="8" t="s">
        <v>1551</v>
      </c>
      <c r="K38" s="8" t="s">
        <v>1706</v>
      </c>
      <c r="L38" s="8" t="s">
        <v>983</v>
      </c>
      <c r="M38" s="8" t="s">
        <v>1707</v>
      </c>
      <c r="N38" s="8" t="s">
        <v>109</v>
      </c>
      <c r="O38" s="8" t="s">
        <v>110</v>
      </c>
      <c r="P38" s="9" t="s">
        <v>111</v>
      </c>
    </row>
    <row r="39" ht="28" spans="1:16">
      <c r="A39" s="10" t="s">
        <v>1708</v>
      </c>
      <c r="B39" s="11" t="s">
        <v>1476</v>
      </c>
      <c r="C39" s="11">
        <v>2026</v>
      </c>
      <c r="D39" s="11" t="s">
        <v>1331</v>
      </c>
      <c r="E39" s="11" t="s">
        <v>1709</v>
      </c>
      <c r="F39" s="11" t="s">
        <v>1710</v>
      </c>
      <c r="G39" s="11" t="s">
        <v>1711</v>
      </c>
      <c r="H39" s="11" t="s">
        <v>1712</v>
      </c>
      <c r="I39" s="11" t="s">
        <v>1550</v>
      </c>
      <c r="J39" s="11" t="s">
        <v>1551</v>
      </c>
      <c r="K39" s="11" t="s">
        <v>1413</v>
      </c>
      <c r="L39" s="11" t="s">
        <v>1331</v>
      </c>
      <c r="M39" s="11" t="s">
        <v>1332</v>
      </c>
      <c r="N39" s="11" t="s">
        <v>109</v>
      </c>
      <c r="O39" s="11" t="s">
        <v>110</v>
      </c>
      <c r="P39" s="12" t="s">
        <v>111</v>
      </c>
    </row>
    <row r="40" ht="28" spans="1:16">
      <c r="A40" s="7" t="s">
        <v>1713</v>
      </c>
      <c r="B40" s="8" t="s">
        <v>1476</v>
      </c>
      <c r="C40" s="8">
        <v>2026</v>
      </c>
      <c r="D40" s="8" t="s">
        <v>1714</v>
      </c>
      <c r="E40" s="8" t="s">
        <v>1715</v>
      </c>
      <c r="F40" s="8" t="s">
        <v>1716</v>
      </c>
      <c r="G40" s="8" t="s">
        <v>1717</v>
      </c>
      <c r="H40" s="8" t="s">
        <v>1718</v>
      </c>
      <c r="I40" s="8" t="s">
        <v>1550</v>
      </c>
      <c r="J40" s="8" t="s">
        <v>1551</v>
      </c>
      <c r="K40" s="8" t="s">
        <v>1719</v>
      </c>
      <c r="L40" s="8" t="s">
        <v>1714</v>
      </c>
      <c r="M40" s="8" t="s">
        <v>1720</v>
      </c>
      <c r="N40" s="8" t="s">
        <v>109</v>
      </c>
      <c r="O40" s="8" t="s">
        <v>110</v>
      </c>
      <c r="P40" s="9" t="s">
        <v>111</v>
      </c>
    </row>
    <row r="41" ht="28" spans="1:16">
      <c r="A41" s="10" t="s">
        <v>1721</v>
      </c>
      <c r="B41" s="11" t="s">
        <v>1490</v>
      </c>
      <c r="C41" s="11">
        <v>2025</v>
      </c>
      <c r="D41" s="11" t="s">
        <v>108</v>
      </c>
      <c r="E41" s="11" t="s">
        <v>1722</v>
      </c>
      <c r="F41" s="11" t="s">
        <v>1723</v>
      </c>
      <c r="G41" s="11" t="s">
        <v>1724</v>
      </c>
      <c r="H41" s="11" t="s">
        <v>1725</v>
      </c>
      <c r="I41" s="11" t="s">
        <v>1550</v>
      </c>
      <c r="J41" s="11" t="s">
        <v>1551</v>
      </c>
      <c r="K41" s="11" t="s">
        <v>1726</v>
      </c>
      <c r="L41" s="11" t="s">
        <v>108</v>
      </c>
      <c r="M41" s="11" t="s">
        <v>1727</v>
      </c>
      <c r="N41" s="11" t="s">
        <v>109</v>
      </c>
      <c r="O41" s="11" t="s">
        <v>110</v>
      </c>
      <c r="P41" s="12" t="s">
        <v>111</v>
      </c>
    </row>
    <row r="42" ht="28" spans="1:16">
      <c r="A42" s="7" t="s">
        <v>1728</v>
      </c>
      <c r="B42" s="8" t="s">
        <v>1490</v>
      </c>
      <c r="C42" s="8">
        <v>2025</v>
      </c>
      <c r="D42" s="8" t="s">
        <v>1513</v>
      </c>
      <c r="E42" s="8" t="s">
        <v>1729</v>
      </c>
      <c r="F42" s="8" t="s">
        <v>1730</v>
      </c>
      <c r="G42" s="8" t="s">
        <v>1731</v>
      </c>
      <c r="H42" s="8" t="s">
        <v>1732</v>
      </c>
      <c r="I42" s="8" t="s">
        <v>1550</v>
      </c>
      <c r="J42" s="8" t="s">
        <v>1551</v>
      </c>
      <c r="K42" s="8" t="s">
        <v>1234</v>
      </c>
      <c r="L42" s="8" t="s">
        <v>1235</v>
      </c>
      <c r="M42" s="8" t="s">
        <v>1236</v>
      </c>
      <c r="N42" s="8" t="s">
        <v>109</v>
      </c>
      <c r="O42" s="8" t="s">
        <v>110</v>
      </c>
      <c r="P42" s="9" t="s">
        <v>111</v>
      </c>
    </row>
    <row r="43" ht="55" spans="1:16">
      <c r="A43" s="10" t="s">
        <v>1733</v>
      </c>
      <c r="B43" s="11" t="s">
        <v>1490</v>
      </c>
      <c r="C43" s="11">
        <v>2025</v>
      </c>
      <c r="D43" s="11" t="s">
        <v>1513</v>
      </c>
      <c r="E43" s="11" t="s">
        <v>1734</v>
      </c>
      <c r="F43" s="11" t="s">
        <v>1735</v>
      </c>
      <c r="G43" s="11" t="s">
        <v>1736</v>
      </c>
      <c r="H43" s="11" t="s">
        <v>1737</v>
      </c>
      <c r="I43" s="11" t="s">
        <v>1550</v>
      </c>
      <c r="J43" s="11" t="s">
        <v>1551</v>
      </c>
      <c r="K43" s="11" t="s">
        <v>358</v>
      </c>
      <c r="L43" s="11" t="s">
        <v>359</v>
      </c>
      <c r="M43" s="11" t="s">
        <v>1190</v>
      </c>
      <c r="N43" s="11" t="s">
        <v>109</v>
      </c>
      <c r="O43" s="11" t="s">
        <v>110</v>
      </c>
      <c r="P43" s="12" t="s">
        <v>111</v>
      </c>
    </row>
    <row r="44" ht="28" spans="1:16">
      <c r="A44" s="7" t="s">
        <v>1738</v>
      </c>
      <c r="B44" s="8" t="s">
        <v>1490</v>
      </c>
      <c r="C44" s="8">
        <v>2025</v>
      </c>
      <c r="D44" s="8" t="s">
        <v>1739</v>
      </c>
      <c r="E44" s="8" t="s">
        <v>1740</v>
      </c>
      <c r="F44" s="8" t="s">
        <v>1741</v>
      </c>
      <c r="G44" s="8" t="s">
        <v>1742</v>
      </c>
      <c r="H44" s="8" t="s">
        <v>1743</v>
      </c>
      <c r="I44" s="8" t="s">
        <v>1550</v>
      </c>
      <c r="J44" s="8" t="s">
        <v>1551</v>
      </c>
      <c r="K44" s="8" t="s">
        <v>1744</v>
      </c>
      <c r="L44" s="8" t="s">
        <v>1739</v>
      </c>
      <c r="M44" s="8" t="s">
        <v>1745</v>
      </c>
      <c r="N44" s="8" t="s">
        <v>109</v>
      </c>
      <c r="O44" s="8" t="s">
        <v>110</v>
      </c>
      <c r="P44" s="9" t="s">
        <v>111</v>
      </c>
    </row>
    <row r="45" ht="28" spans="1:16">
      <c r="A45" s="10" t="s">
        <v>1746</v>
      </c>
      <c r="B45" s="11" t="s">
        <v>1490</v>
      </c>
      <c r="C45" s="11">
        <v>2025</v>
      </c>
      <c r="D45" s="11" t="s">
        <v>1513</v>
      </c>
      <c r="E45" s="11" t="s">
        <v>1747</v>
      </c>
      <c r="F45" s="11" t="s">
        <v>1748</v>
      </c>
      <c r="G45" s="11" t="s">
        <v>1749</v>
      </c>
      <c r="H45" s="11" t="s">
        <v>1750</v>
      </c>
      <c r="I45" s="11" t="s">
        <v>1550</v>
      </c>
      <c r="J45" s="11" t="s">
        <v>1551</v>
      </c>
      <c r="K45" s="11" t="s">
        <v>1751</v>
      </c>
      <c r="L45" s="11" t="s">
        <v>1752</v>
      </c>
      <c r="M45" s="11" t="s">
        <v>1753</v>
      </c>
      <c r="N45" s="11" t="s">
        <v>109</v>
      </c>
      <c r="O45" s="11" t="s">
        <v>110</v>
      </c>
      <c r="P45" s="12" t="s">
        <v>111</v>
      </c>
    </row>
    <row r="46" ht="28" spans="1:16">
      <c r="A46" s="7" t="s">
        <v>1754</v>
      </c>
      <c r="B46" s="8" t="s">
        <v>1490</v>
      </c>
      <c r="C46" s="8">
        <v>2025</v>
      </c>
      <c r="D46" s="8" t="s">
        <v>1513</v>
      </c>
      <c r="E46" s="8" t="s">
        <v>1755</v>
      </c>
      <c r="F46" s="8" t="s">
        <v>1756</v>
      </c>
      <c r="G46" s="8" t="s">
        <v>1757</v>
      </c>
      <c r="H46" s="8" t="s">
        <v>1758</v>
      </c>
      <c r="I46" s="8" t="s">
        <v>1550</v>
      </c>
      <c r="J46" s="8" t="s">
        <v>1551</v>
      </c>
      <c r="K46" s="8" t="s">
        <v>1759</v>
      </c>
      <c r="L46" s="8" t="s">
        <v>996</v>
      </c>
      <c r="M46" s="8" t="s">
        <v>1760</v>
      </c>
      <c r="N46" s="8" t="s">
        <v>109</v>
      </c>
      <c r="O46" s="8" t="s">
        <v>110</v>
      </c>
      <c r="P46" s="9" t="s">
        <v>111</v>
      </c>
    </row>
    <row r="47" ht="28" spans="1:16">
      <c r="A47" s="10" t="s">
        <v>1761</v>
      </c>
      <c r="B47" s="11" t="s">
        <v>1490</v>
      </c>
      <c r="C47" s="11">
        <v>2026</v>
      </c>
      <c r="D47" s="11" t="s">
        <v>108</v>
      </c>
      <c r="E47" s="11" t="s">
        <v>1762</v>
      </c>
      <c r="F47" s="11" t="s">
        <v>1763</v>
      </c>
      <c r="G47" s="11" t="s">
        <v>1764</v>
      </c>
      <c r="H47" s="11" t="s">
        <v>1765</v>
      </c>
      <c r="I47" s="11" t="s">
        <v>1550</v>
      </c>
      <c r="J47" s="11" t="s">
        <v>1551</v>
      </c>
      <c r="K47" s="11" t="s">
        <v>1766</v>
      </c>
      <c r="L47" s="11" t="s">
        <v>108</v>
      </c>
      <c r="M47" s="11" t="s">
        <v>1767</v>
      </c>
      <c r="N47" s="11" t="s">
        <v>109</v>
      </c>
      <c r="O47" s="11" t="s">
        <v>110</v>
      </c>
      <c r="P47" s="12" t="s">
        <v>111</v>
      </c>
    </row>
    <row r="48" ht="28" spans="1:16">
      <c r="A48" s="7" t="s">
        <v>1768</v>
      </c>
      <c r="B48" s="8" t="s">
        <v>1490</v>
      </c>
      <c r="C48" s="8">
        <v>2025</v>
      </c>
      <c r="D48" s="8" t="s">
        <v>108</v>
      </c>
      <c r="E48" s="8" t="s">
        <v>1769</v>
      </c>
      <c r="F48" s="8" t="s">
        <v>1770</v>
      </c>
      <c r="G48" s="8" t="s">
        <v>1771</v>
      </c>
      <c r="H48" s="8" t="s">
        <v>1772</v>
      </c>
      <c r="I48" s="8" t="s">
        <v>1550</v>
      </c>
      <c r="J48" s="8" t="s">
        <v>1551</v>
      </c>
      <c r="K48" s="8" t="s">
        <v>1773</v>
      </c>
      <c r="L48" s="8" t="s">
        <v>108</v>
      </c>
      <c r="M48" s="8" t="s">
        <v>1774</v>
      </c>
      <c r="N48" s="8" t="s">
        <v>109</v>
      </c>
      <c r="O48" s="8" t="s">
        <v>110</v>
      </c>
      <c r="P48" s="9" t="s">
        <v>111</v>
      </c>
    </row>
    <row r="49" ht="28" spans="1:16">
      <c r="A49" s="10" t="s">
        <v>1775</v>
      </c>
      <c r="B49" s="11" t="s">
        <v>1490</v>
      </c>
      <c r="C49" s="11">
        <v>2023</v>
      </c>
      <c r="D49" s="11" t="s">
        <v>108</v>
      </c>
      <c r="E49" s="11" t="s">
        <v>1776</v>
      </c>
      <c r="F49" s="11" t="s">
        <v>1777</v>
      </c>
      <c r="G49" s="11" t="s">
        <v>1778</v>
      </c>
      <c r="H49" s="11" t="s">
        <v>1779</v>
      </c>
      <c r="I49" s="11" t="s">
        <v>1550</v>
      </c>
      <c r="J49" s="11" t="s">
        <v>1551</v>
      </c>
      <c r="K49" s="11" t="s">
        <v>1780</v>
      </c>
      <c r="L49" s="11" t="s">
        <v>108</v>
      </c>
      <c r="M49" s="11" t="s">
        <v>1781</v>
      </c>
      <c r="N49" s="11" t="s">
        <v>109</v>
      </c>
      <c r="O49" s="11" t="s">
        <v>110</v>
      </c>
      <c r="P49" s="12" t="s">
        <v>111</v>
      </c>
    </row>
    <row r="50" ht="28" spans="1:16">
      <c r="A50" s="16" t="s">
        <v>1782</v>
      </c>
      <c r="B50" s="17" t="s">
        <v>1343</v>
      </c>
      <c r="C50" s="17">
        <v>2025</v>
      </c>
      <c r="D50" s="17" t="s">
        <v>1783</v>
      </c>
      <c r="E50" s="17" t="s">
        <v>1784</v>
      </c>
      <c r="F50" s="17" t="s">
        <v>1785</v>
      </c>
      <c r="G50" s="17" t="s">
        <v>1786</v>
      </c>
      <c r="H50" s="17" t="s">
        <v>1787</v>
      </c>
      <c r="I50" s="17" t="s">
        <v>1550</v>
      </c>
      <c r="J50" s="17" t="s">
        <v>1551</v>
      </c>
      <c r="K50" s="17" t="s">
        <v>1788</v>
      </c>
      <c r="L50" s="17" t="s">
        <v>1789</v>
      </c>
      <c r="M50" s="17" t="s">
        <v>1790</v>
      </c>
      <c r="N50" s="17" t="s">
        <v>109</v>
      </c>
      <c r="O50" s="17" t="s">
        <v>110</v>
      </c>
      <c r="P50" s="18" t="s">
        <v>111</v>
      </c>
    </row>
    <row r="51" ht="28" spans="1:16">
      <c r="A51" s="10" t="s">
        <v>1791</v>
      </c>
      <c r="B51" s="11" t="s">
        <v>1449</v>
      </c>
      <c r="C51" s="11">
        <v>46204</v>
      </c>
      <c r="D51" s="11" t="s">
        <v>1792</v>
      </c>
      <c r="E51" s="11" t="s">
        <v>1793</v>
      </c>
      <c r="F51" s="11" t="s">
        <v>1794</v>
      </c>
      <c r="G51" s="11" t="s">
        <v>1795</v>
      </c>
      <c r="H51" s="11" t="s">
        <v>1796</v>
      </c>
      <c r="I51" s="11" t="s">
        <v>1550</v>
      </c>
      <c r="J51" s="11" t="s">
        <v>1551</v>
      </c>
      <c r="K51" s="11" t="s">
        <v>1797</v>
      </c>
      <c r="L51" s="11" t="s">
        <v>1792</v>
      </c>
      <c r="M51" s="11" t="s">
        <v>1798</v>
      </c>
      <c r="N51" s="11" t="s">
        <v>109</v>
      </c>
      <c r="O51" s="11" t="s">
        <v>110</v>
      </c>
      <c r="P51" s="12">
        <v>46232</v>
      </c>
    </row>
  </sheetData>
  <mergeCells count="2">
    <mergeCell ref="A1:P1"/>
    <mergeCell ref="A2:P2"/>
  </mergeCell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0"/>
  <sheetViews>
    <sheetView showGridLines="0" topLeftCell="A67" workbookViewId="0">
      <selection activeCell="A1" sqref="A1:V1"/>
    </sheetView>
  </sheetViews>
  <sheetFormatPr defaultColWidth="9" defaultRowHeight="16.8"/>
  <cols>
    <col min="1" max="1" width="9" customWidth="1"/>
    <col min="2" max="2" width="20" customWidth="1"/>
    <col min="3" max="3" width="13" customWidth="1"/>
    <col min="4" max="4" width="23" customWidth="1"/>
    <col min="5" max="5" width="18" customWidth="1"/>
    <col min="6" max="6" width="28" customWidth="1"/>
    <col min="7" max="7" width="46" customWidth="1"/>
    <col min="8" max="8" width="22" customWidth="1"/>
    <col min="9" max="9" width="30" customWidth="1"/>
    <col min="10" max="10" width="25" customWidth="1"/>
    <col min="11" max="11" width="34" customWidth="1"/>
    <col min="12" max="12" width="30" customWidth="1"/>
    <col min="13" max="13" width="11" customWidth="1"/>
    <col min="14" max="14" width="45" customWidth="1"/>
    <col min="15" max="15" width="18" customWidth="1"/>
    <col min="16" max="16" width="11" customWidth="1"/>
    <col min="17" max="17" width="12" customWidth="1"/>
    <col min="18" max="18" width="25" customWidth="1"/>
    <col min="19" max="19" width="44" customWidth="1"/>
    <col min="20" max="20" width="16" customWidth="1"/>
    <col min="21" max="21" width="10" customWidth="1"/>
    <col min="22" max="22" width="12" customWidth="1"/>
  </cols>
  <sheetData>
    <row r="1" ht="32" customHeight="1" spans="1:22">
      <c r="A1" s="1" t="s">
        <v>1799</v>
      </c>
      <c r="B1" s="1"/>
      <c r="C1" s="1"/>
      <c r="D1" s="1"/>
      <c r="E1" s="1"/>
      <c r="F1" s="1"/>
      <c r="G1" s="1"/>
      <c r="H1" s="1"/>
      <c r="I1" s="1"/>
      <c r="J1" s="1"/>
      <c r="K1" s="1"/>
      <c r="L1" s="1"/>
      <c r="M1" s="1"/>
      <c r="N1" s="1"/>
      <c r="O1" s="1"/>
      <c r="P1" s="1"/>
      <c r="Q1" s="1"/>
      <c r="R1" s="1"/>
      <c r="S1" s="1"/>
      <c r="T1" s="1"/>
      <c r="U1" s="1"/>
      <c r="V1" s="1"/>
    </row>
    <row r="2" ht="34" customHeight="1" spans="1:22">
      <c r="A2" s="2" t="s">
        <v>1800</v>
      </c>
      <c r="B2" s="2"/>
      <c r="C2" s="2"/>
      <c r="D2" s="2"/>
      <c r="E2" s="2"/>
      <c r="F2" s="2"/>
      <c r="G2" s="2"/>
      <c r="H2" s="2"/>
      <c r="I2" s="2"/>
      <c r="J2" s="2"/>
      <c r="K2" s="2"/>
      <c r="L2" s="2"/>
      <c r="M2" s="2"/>
      <c r="N2" s="2"/>
      <c r="O2" s="2"/>
      <c r="P2" s="2"/>
      <c r="Q2" s="2"/>
      <c r="R2" s="2"/>
      <c r="S2" s="2"/>
      <c r="T2" s="2"/>
      <c r="U2" s="2"/>
      <c r="V2" s="2"/>
    </row>
    <row r="4" ht="32" customHeight="1" spans="1:22">
      <c r="A4" s="3" t="s">
        <v>1801</v>
      </c>
      <c r="B4" s="3" t="s">
        <v>31</v>
      </c>
      <c r="C4" s="3" t="s">
        <v>1802</v>
      </c>
      <c r="D4" s="3" t="s">
        <v>362</v>
      </c>
      <c r="E4" s="3" t="s">
        <v>1803</v>
      </c>
      <c r="F4" s="3" t="s">
        <v>1804</v>
      </c>
      <c r="G4" s="3" t="s">
        <v>1805</v>
      </c>
      <c r="H4" s="3" t="s">
        <v>1806</v>
      </c>
      <c r="I4" s="3" t="s">
        <v>1807</v>
      </c>
      <c r="J4" s="3" t="s">
        <v>1808</v>
      </c>
      <c r="K4" s="3" t="s">
        <v>1809</v>
      </c>
      <c r="L4" s="3" t="s">
        <v>1810</v>
      </c>
      <c r="M4" s="3" t="s">
        <v>1811</v>
      </c>
      <c r="N4" s="3" t="s">
        <v>1812</v>
      </c>
      <c r="O4" s="3" t="s">
        <v>1813</v>
      </c>
      <c r="P4" s="3" t="s">
        <v>88</v>
      </c>
      <c r="Q4" s="3" t="s">
        <v>90</v>
      </c>
      <c r="R4" s="3" t="s">
        <v>91</v>
      </c>
      <c r="S4" s="3" t="s">
        <v>372</v>
      </c>
      <c r="T4" s="3" t="s">
        <v>92</v>
      </c>
      <c r="U4" s="3" t="s">
        <v>93</v>
      </c>
      <c r="V4" s="3" t="s">
        <v>94</v>
      </c>
    </row>
    <row r="5" ht="28" spans="1:22">
      <c r="A5" s="4" t="s">
        <v>1814</v>
      </c>
      <c r="B5" s="5" t="s">
        <v>376</v>
      </c>
      <c r="C5" s="5" t="s">
        <v>1343</v>
      </c>
      <c r="D5" s="5" t="s">
        <v>1815</v>
      </c>
      <c r="E5" s="5" t="s">
        <v>1816</v>
      </c>
      <c r="F5" s="5" t="s">
        <v>375</v>
      </c>
      <c r="G5" s="5" t="s">
        <v>1817</v>
      </c>
      <c r="H5" s="5" t="s">
        <v>1818</v>
      </c>
      <c r="I5" s="5" t="s">
        <v>1819</v>
      </c>
      <c r="J5" s="5" t="s">
        <v>1820</v>
      </c>
      <c r="K5" s="5" t="s">
        <v>1821</v>
      </c>
      <c r="L5" s="5" t="s">
        <v>1822</v>
      </c>
      <c r="M5" s="5" t="s">
        <v>101</v>
      </c>
      <c r="N5" s="5" t="s">
        <v>1823</v>
      </c>
      <c r="O5" s="5" t="s">
        <v>1824</v>
      </c>
      <c r="P5" s="5" t="s">
        <v>105</v>
      </c>
      <c r="Q5" s="5" t="s">
        <v>386</v>
      </c>
      <c r="R5" s="5" t="s">
        <v>376</v>
      </c>
      <c r="S5" s="5" t="s">
        <v>387</v>
      </c>
      <c r="T5" s="5" t="s">
        <v>121</v>
      </c>
      <c r="U5" s="5" t="s">
        <v>203</v>
      </c>
      <c r="V5" s="6" t="s">
        <v>111</v>
      </c>
    </row>
    <row r="6" ht="28" spans="1:22">
      <c r="A6" s="7" t="s">
        <v>1825</v>
      </c>
      <c r="B6" s="8" t="s">
        <v>390</v>
      </c>
      <c r="C6" s="8" t="s">
        <v>1359</v>
      </c>
      <c r="D6" s="8" t="s">
        <v>1826</v>
      </c>
      <c r="E6" s="8" t="s">
        <v>1816</v>
      </c>
      <c r="F6" s="8" t="s">
        <v>389</v>
      </c>
      <c r="G6" s="8" t="s">
        <v>1827</v>
      </c>
      <c r="H6" s="8" t="s">
        <v>1828</v>
      </c>
      <c r="I6" s="8" t="s">
        <v>1819</v>
      </c>
      <c r="J6" s="8" t="s">
        <v>1820</v>
      </c>
      <c r="K6" s="8" t="s">
        <v>1829</v>
      </c>
      <c r="L6" s="8" t="s">
        <v>1830</v>
      </c>
      <c r="M6" s="8" t="s">
        <v>101</v>
      </c>
      <c r="N6" s="8" t="s">
        <v>1831</v>
      </c>
      <c r="O6" s="8" t="s">
        <v>1832</v>
      </c>
      <c r="P6" s="8" t="s">
        <v>105</v>
      </c>
      <c r="Q6" s="8" t="s">
        <v>398</v>
      </c>
      <c r="R6" s="8" t="s">
        <v>390</v>
      </c>
      <c r="S6" s="8" t="s">
        <v>399</v>
      </c>
      <c r="T6" s="8" t="s">
        <v>121</v>
      </c>
      <c r="U6" s="8" t="s">
        <v>203</v>
      </c>
      <c r="V6" s="9" t="s">
        <v>111</v>
      </c>
    </row>
    <row r="7" ht="28" spans="1:22">
      <c r="A7" s="10" t="s">
        <v>1833</v>
      </c>
      <c r="B7" s="11" t="s">
        <v>402</v>
      </c>
      <c r="C7" s="11" t="s">
        <v>1343</v>
      </c>
      <c r="D7" s="11" t="s">
        <v>1834</v>
      </c>
      <c r="E7" s="11" t="s">
        <v>1816</v>
      </c>
      <c r="F7" s="11" t="s">
        <v>401</v>
      </c>
      <c r="G7" s="11" t="s">
        <v>1835</v>
      </c>
      <c r="H7" s="11" t="s">
        <v>1836</v>
      </c>
      <c r="I7" s="11" t="s">
        <v>1819</v>
      </c>
      <c r="J7" s="11" t="s">
        <v>1820</v>
      </c>
      <c r="K7" s="11" t="s">
        <v>1837</v>
      </c>
      <c r="L7" s="11" t="s">
        <v>1838</v>
      </c>
      <c r="M7" s="11" t="s">
        <v>101</v>
      </c>
      <c r="N7" s="11" t="s">
        <v>1839</v>
      </c>
      <c r="O7" s="11" t="s">
        <v>1832</v>
      </c>
      <c r="P7" s="11" t="s">
        <v>105</v>
      </c>
      <c r="Q7" s="11" t="s">
        <v>409</v>
      </c>
      <c r="R7" s="11" t="s">
        <v>402</v>
      </c>
      <c r="S7" s="11" t="s">
        <v>410</v>
      </c>
      <c r="T7" s="11" t="s">
        <v>121</v>
      </c>
      <c r="U7" s="11" t="s">
        <v>110</v>
      </c>
      <c r="V7" s="12" t="s">
        <v>111</v>
      </c>
    </row>
    <row r="8" ht="28" spans="1:22">
      <c r="A8" s="7" t="s">
        <v>1840</v>
      </c>
      <c r="B8" s="8" t="s">
        <v>413</v>
      </c>
      <c r="C8" s="8" t="s">
        <v>1841</v>
      </c>
      <c r="D8" s="8" t="s">
        <v>1842</v>
      </c>
      <c r="E8" s="8" t="s">
        <v>1816</v>
      </c>
      <c r="F8" s="8" t="s">
        <v>412</v>
      </c>
      <c r="G8" s="8" t="s">
        <v>1843</v>
      </c>
      <c r="H8" s="8" t="s">
        <v>1844</v>
      </c>
      <c r="I8" s="8" t="s">
        <v>1819</v>
      </c>
      <c r="J8" s="8" t="s">
        <v>1820</v>
      </c>
      <c r="K8" s="8" t="s">
        <v>1845</v>
      </c>
      <c r="L8" s="8" t="s">
        <v>1846</v>
      </c>
      <c r="M8" s="8" t="s">
        <v>101</v>
      </c>
      <c r="N8" s="8" t="s">
        <v>1847</v>
      </c>
      <c r="O8" s="8" t="s">
        <v>1848</v>
      </c>
      <c r="P8" s="8" t="s">
        <v>105</v>
      </c>
      <c r="Q8" s="8" t="s">
        <v>421</v>
      </c>
      <c r="R8" s="8" t="s">
        <v>413</v>
      </c>
      <c r="S8" s="8" t="s">
        <v>422</v>
      </c>
      <c r="T8" s="8" t="s">
        <v>109</v>
      </c>
      <c r="U8" s="8" t="s">
        <v>110</v>
      </c>
      <c r="V8" s="9" t="s">
        <v>111</v>
      </c>
    </row>
    <row r="9" ht="28" spans="1:22">
      <c r="A9" s="10" t="s">
        <v>1849</v>
      </c>
      <c r="B9" s="11" t="s">
        <v>463</v>
      </c>
      <c r="C9" s="11" t="s">
        <v>1850</v>
      </c>
      <c r="D9" s="11" t="s">
        <v>1851</v>
      </c>
      <c r="E9" s="11" t="s">
        <v>1816</v>
      </c>
      <c r="F9" s="11" t="s">
        <v>462</v>
      </c>
      <c r="G9" s="11" t="s">
        <v>1852</v>
      </c>
      <c r="H9" s="11" t="s">
        <v>1853</v>
      </c>
      <c r="I9" s="11" t="s">
        <v>1819</v>
      </c>
      <c r="J9" s="11" t="s">
        <v>1820</v>
      </c>
      <c r="K9" s="11" t="s">
        <v>1854</v>
      </c>
      <c r="L9" s="11" t="s">
        <v>1855</v>
      </c>
      <c r="M9" s="11" t="s">
        <v>100</v>
      </c>
      <c r="N9" s="11" t="s">
        <v>1856</v>
      </c>
      <c r="O9" s="11" t="s">
        <v>1857</v>
      </c>
      <c r="P9" s="11" t="s">
        <v>105</v>
      </c>
      <c r="Q9" s="11" t="s">
        <v>471</v>
      </c>
      <c r="R9" s="11" t="s">
        <v>463</v>
      </c>
      <c r="S9" s="11" t="s">
        <v>472</v>
      </c>
      <c r="T9" s="11" t="s">
        <v>121</v>
      </c>
      <c r="U9" s="11" t="s">
        <v>110</v>
      </c>
      <c r="V9" s="12" t="s">
        <v>111</v>
      </c>
    </row>
    <row r="10" ht="28" spans="1:22">
      <c r="A10" s="7" t="s">
        <v>1858</v>
      </c>
      <c r="B10" s="8" t="s">
        <v>475</v>
      </c>
      <c r="C10" s="8" t="s">
        <v>1343</v>
      </c>
      <c r="D10" s="8" t="s">
        <v>1859</v>
      </c>
      <c r="E10" s="8" t="s">
        <v>1816</v>
      </c>
      <c r="F10" s="8" t="s">
        <v>474</v>
      </c>
      <c r="G10" s="8" t="s">
        <v>1860</v>
      </c>
      <c r="H10" s="8" t="s">
        <v>1861</v>
      </c>
      <c r="I10" s="8" t="s">
        <v>1819</v>
      </c>
      <c r="J10" s="8" t="s">
        <v>1820</v>
      </c>
      <c r="K10" s="8" t="s">
        <v>1862</v>
      </c>
      <c r="L10" s="8" t="s">
        <v>1863</v>
      </c>
      <c r="M10" s="8" t="s">
        <v>100</v>
      </c>
      <c r="N10" s="8" t="s">
        <v>1864</v>
      </c>
      <c r="O10" s="8" t="s">
        <v>1865</v>
      </c>
      <c r="P10" s="8" t="s">
        <v>105</v>
      </c>
      <c r="Q10" s="8" t="s">
        <v>482</v>
      </c>
      <c r="R10" s="8" t="s">
        <v>475</v>
      </c>
      <c r="S10" s="8" t="s">
        <v>483</v>
      </c>
      <c r="T10" s="8" t="s">
        <v>121</v>
      </c>
      <c r="U10" s="8" t="s">
        <v>110</v>
      </c>
      <c r="V10" s="9" t="s">
        <v>111</v>
      </c>
    </row>
    <row r="11" ht="28" spans="1:22">
      <c r="A11" s="10" t="s">
        <v>1866</v>
      </c>
      <c r="B11" s="11" t="s">
        <v>486</v>
      </c>
      <c r="C11" s="11" t="s">
        <v>1850</v>
      </c>
      <c r="D11" s="11" t="s">
        <v>1867</v>
      </c>
      <c r="E11" s="11" t="s">
        <v>1816</v>
      </c>
      <c r="F11" s="11" t="s">
        <v>485</v>
      </c>
      <c r="G11" s="11" t="s">
        <v>1868</v>
      </c>
      <c r="H11" s="11" t="s">
        <v>1861</v>
      </c>
      <c r="I11" s="11" t="s">
        <v>1819</v>
      </c>
      <c r="J11" s="11" t="s">
        <v>1820</v>
      </c>
      <c r="K11" s="11" t="s">
        <v>1869</v>
      </c>
      <c r="L11" s="11" t="s">
        <v>1870</v>
      </c>
      <c r="M11" s="11" t="s">
        <v>100</v>
      </c>
      <c r="N11" s="11" t="s">
        <v>1871</v>
      </c>
      <c r="O11" s="11" t="s">
        <v>1865</v>
      </c>
      <c r="P11" s="11" t="s">
        <v>105</v>
      </c>
      <c r="Q11" s="11" t="s">
        <v>492</v>
      </c>
      <c r="R11" s="11" t="s">
        <v>486</v>
      </c>
      <c r="S11" s="11" t="s">
        <v>493</v>
      </c>
      <c r="T11" s="11" t="s">
        <v>121</v>
      </c>
      <c r="U11" s="11" t="s">
        <v>110</v>
      </c>
      <c r="V11" s="12" t="s">
        <v>111</v>
      </c>
    </row>
    <row r="12" ht="41" spans="1:22">
      <c r="A12" s="7" t="s">
        <v>1872</v>
      </c>
      <c r="B12" s="8" t="s">
        <v>147</v>
      </c>
      <c r="C12" s="8" t="s">
        <v>1850</v>
      </c>
      <c r="D12" s="8" t="s">
        <v>1873</v>
      </c>
      <c r="E12" s="8" t="s">
        <v>1816</v>
      </c>
      <c r="F12" s="8" t="s">
        <v>1874</v>
      </c>
      <c r="G12" s="8" t="s">
        <v>1875</v>
      </c>
      <c r="H12" s="8" t="s">
        <v>1844</v>
      </c>
      <c r="I12" s="8" t="s">
        <v>1819</v>
      </c>
      <c r="J12" s="8" t="s">
        <v>1820</v>
      </c>
      <c r="K12" s="8" t="s">
        <v>1876</v>
      </c>
      <c r="L12" s="8" t="s">
        <v>1877</v>
      </c>
      <c r="M12" s="8" t="s">
        <v>101</v>
      </c>
      <c r="N12" s="8" t="s">
        <v>1878</v>
      </c>
      <c r="O12" s="8" t="s">
        <v>1879</v>
      </c>
      <c r="P12" s="8" t="s">
        <v>105</v>
      </c>
      <c r="Q12" s="8" t="s">
        <v>146</v>
      </c>
      <c r="R12" s="8" t="s">
        <v>147</v>
      </c>
      <c r="S12" s="8" t="s">
        <v>882</v>
      </c>
      <c r="T12" s="8" t="s">
        <v>109</v>
      </c>
      <c r="U12" s="8" t="s">
        <v>203</v>
      </c>
      <c r="V12" s="9" t="s">
        <v>111</v>
      </c>
    </row>
    <row r="13" ht="28" spans="1:22">
      <c r="A13" s="10" t="s">
        <v>1880</v>
      </c>
      <c r="B13" s="11" t="s">
        <v>120</v>
      </c>
      <c r="C13" s="11" t="s">
        <v>1312</v>
      </c>
      <c r="D13" s="11" t="s">
        <v>1881</v>
      </c>
      <c r="E13" s="11" t="s">
        <v>1816</v>
      </c>
      <c r="F13" s="11" t="s">
        <v>1874</v>
      </c>
      <c r="G13" s="11" t="s">
        <v>1882</v>
      </c>
      <c r="H13" s="11" t="s">
        <v>1883</v>
      </c>
      <c r="I13" s="11" t="s">
        <v>1819</v>
      </c>
      <c r="J13" s="11" t="s">
        <v>1820</v>
      </c>
      <c r="K13" s="11" t="s">
        <v>1884</v>
      </c>
      <c r="L13" s="11" t="s">
        <v>1885</v>
      </c>
      <c r="M13" s="11" t="s">
        <v>101</v>
      </c>
      <c r="N13" s="11" t="s">
        <v>1886</v>
      </c>
      <c r="O13" s="11" t="s">
        <v>1887</v>
      </c>
      <c r="P13" s="11" t="s">
        <v>105</v>
      </c>
      <c r="Q13" s="11" t="s">
        <v>119</v>
      </c>
      <c r="R13" s="11" t="s">
        <v>120</v>
      </c>
      <c r="S13" s="11" t="s">
        <v>1316</v>
      </c>
      <c r="T13" s="11" t="s">
        <v>121</v>
      </c>
      <c r="U13" s="11" t="s">
        <v>203</v>
      </c>
      <c r="V13" s="12" t="s">
        <v>111</v>
      </c>
    </row>
    <row r="14" ht="55" spans="1:22">
      <c r="A14" s="7" t="s">
        <v>1888</v>
      </c>
      <c r="B14" s="8" t="s">
        <v>496</v>
      </c>
      <c r="C14" s="8" t="s">
        <v>1490</v>
      </c>
      <c r="D14" s="8" t="s">
        <v>1889</v>
      </c>
      <c r="E14" s="8" t="s">
        <v>1816</v>
      </c>
      <c r="F14" s="8" t="s">
        <v>495</v>
      </c>
      <c r="G14" s="8" t="s">
        <v>1890</v>
      </c>
      <c r="H14" s="8" t="s">
        <v>1891</v>
      </c>
      <c r="I14" s="8" t="s">
        <v>1819</v>
      </c>
      <c r="J14" s="8" t="s">
        <v>1820</v>
      </c>
      <c r="K14" s="8" t="s">
        <v>1892</v>
      </c>
      <c r="L14" s="8" t="s">
        <v>1893</v>
      </c>
      <c r="M14" s="8" t="s">
        <v>100</v>
      </c>
      <c r="N14" s="8" t="s">
        <v>1894</v>
      </c>
      <c r="O14" s="8" t="s">
        <v>1895</v>
      </c>
      <c r="P14" s="8" t="s">
        <v>105</v>
      </c>
      <c r="Q14" s="8" t="s">
        <v>1896</v>
      </c>
      <c r="R14" s="8" t="s">
        <v>1897</v>
      </c>
      <c r="S14" s="8" t="s">
        <v>1898</v>
      </c>
      <c r="T14" s="8" t="s">
        <v>109</v>
      </c>
      <c r="U14" s="8" t="s">
        <v>110</v>
      </c>
      <c r="V14" s="9" t="s">
        <v>111</v>
      </c>
    </row>
    <row r="15" ht="28" spans="1:22">
      <c r="A15" s="10" t="s">
        <v>1899</v>
      </c>
      <c r="B15" s="11" t="s">
        <v>424</v>
      </c>
      <c r="C15" s="11" t="s">
        <v>1490</v>
      </c>
      <c r="D15" s="11" t="s">
        <v>1900</v>
      </c>
      <c r="E15" s="11" t="s">
        <v>1816</v>
      </c>
      <c r="F15" s="11" t="s">
        <v>185</v>
      </c>
      <c r="G15" s="11" t="s">
        <v>1901</v>
      </c>
      <c r="H15" s="11" t="s">
        <v>1902</v>
      </c>
      <c r="I15" s="11" t="s">
        <v>1819</v>
      </c>
      <c r="J15" s="11" t="s">
        <v>1820</v>
      </c>
      <c r="K15" s="11" t="s">
        <v>1903</v>
      </c>
      <c r="L15" s="11" t="s">
        <v>1904</v>
      </c>
      <c r="M15" s="11" t="s">
        <v>135</v>
      </c>
      <c r="N15" s="11" t="s">
        <v>1905</v>
      </c>
      <c r="O15" s="11" t="s">
        <v>1906</v>
      </c>
      <c r="P15" s="11" t="s">
        <v>105</v>
      </c>
      <c r="Q15" s="11" t="s">
        <v>432</v>
      </c>
      <c r="R15" s="11" t="s">
        <v>433</v>
      </c>
      <c r="S15" s="11" t="s">
        <v>434</v>
      </c>
      <c r="T15" s="11" t="s">
        <v>121</v>
      </c>
      <c r="U15" s="11" t="s">
        <v>110</v>
      </c>
      <c r="V15" s="12" t="s">
        <v>111</v>
      </c>
    </row>
    <row r="16" ht="28" spans="1:22">
      <c r="A16" s="7" t="s">
        <v>1907</v>
      </c>
      <c r="B16" s="8" t="s">
        <v>437</v>
      </c>
      <c r="C16" s="8" t="s">
        <v>1490</v>
      </c>
      <c r="D16" s="8" t="s">
        <v>1908</v>
      </c>
      <c r="E16" s="8" t="s">
        <v>1816</v>
      </c>
      <c r="F16" s="8" t="s">
        <v>436</v>
      </c>
      <c r="G16" s="8" t="s">
        <v>1909</v>
      </c>
      <c r="H16" s="8" t="s">
        <v>1910</v>
      </c>
      <c r="I16" s="8" t="s">
        <v>1819</v>
      </c>
      <c r="J16" s="8" t="s">
        <v>1820</v>
      </c>
      <c r="K16" s="8" t="s">
        <v>1911</v>
      </c>
      <c r="L16" s="8" t="s">
        <v>1912</v>
      </c>
      <c r="M16" s="8" t="s">
        <v>135</v>
      </c>
      <c r="N16" s="8" t="s">
        <v>1913</v>
      </c>
      <c r="O16" s="8" t="s">
        <v>1914</v>
      </c>
      <c r="P16" s="8" t="s">
        <v>105</v>
      </c>
      <c r="Q16" s="8" t="s">
        <v>446</v>
      </c>
      <c r="R16" s="8" t="s">
        <v>447</v>
      </c>
      <c r="S16" s="8" t="s">
        <v>448</v>
      </c>
      <c r="T16" s="8" t="s">
        <v>109</v>
      </c>
      <c r="U16" s="8" t="s">
        <v>110</v>
      </c>
      <c r="V16" s="9" t="s">
        <v>111</v>
      </c>
    </row>
    <row r="17" ht="28" spans="1:22">
      <c r="A17" s="10" t="s">
        <v>1915</v>
      </c>
      <c r="B17" s="11" t="s">
        <v>452</v>
      </c>
      <c r="C17" s="11" t="s">
        <v>1850</v>
      </c>
      <c r="D17" s="11" t="s">
        <v>1916</v>
      </c>
      <c r="E17" s="11" t="s">
        <v>1816</v>
      </c>
      <c r="F17" s="11" t="s">
        <v>451</v>
      </c>
      <c r="G17" s="11" t="s">
        <v>1917</v>
      </c>
      <c r="H17" s="11" t="s">
        <v>1918</v>
      </c>
      <c r="I17" s="11" t="s">
        <v>1819</v>
      </c>
      <c r="J17" s="11" t="s">
        <v>1820</v>
      </c>
      <c r="K17" s="11" t="s">
        <v>1919</v>
      </c>
      <c r="L17" s="11" t="s">
        <v>1920</v>
      </c>
      <c r="M17" s="11" t="s">
        <v>135</v>
      </c>
      <c r="N17" s="11" t="s">
        <v>1921</v>
      </c>
      <c r="O17" s="11" t="s">
        <v>1922</v>
      </c>
      <c r="P17" s="11" t="s">
        <v>105</v>
      </c>
      <c r="Q17" s="11" t="s">
        <v>459</v>
      </c>
      <c r="R17" s="11" t="s">
        <v>452</v>
      </c>
      <c r="S17" s="11" t="s">
        <v>460</v>
      </c>
      <c r="T17" s="11" t="s">
        <v>121</v>
      </c>
      <c r="U17" s="11" t="s">
        <v>203</v>
      </c>
      <c r="V17" s="12" t="s">
        <v>111</v>
      </c>
    </row>
    <row r="18" ht="28" spans="1:22">
      <c r="A18" s="7" t="s">
        <v>1923</v>
      </c>
      <c r="B18" s="8" t="s">
        <v>510</v>
      </c>
      <c r="C18" s="8" t="s">
        <v>1850</v>
      </c>
      <c r="D18" s="8" t="s">
        <v>1924</v>
      </c>
      <c r="E18" s="8" t="s">
        <v>1816</v>
      </c>
      <c r="F18" s="8" t="s">
        <v>509</v>
      </c>
      <c r="G18" s="8" t="s">
        <v>1925</v>
      </c>
      <c r="H18" s="8" t="s">
        <v>1918</v>
      </c>
      <c r="I18" s="8" t="s">
        <v>1819</v>
      </c>
      <c r="J18" s="8" t="s">
        <v>1820</v>
      </c>
      <c r="K18" s="8" t="s">
        <v>1926</v>
      </c>
      <c r="L18" s="8" t="s">
        <v>1927</v>
      </c>
      <c r="M18" s="8" t="s">
        <v>197</v>
      </c>
      <c r="N18" s="8" t="s">
        <v>1928</v>
      </c>
      <c r="O18" s="8" t="s">
        <v>606</v>
      </c>
      <c r="P18" s="8" t="s">
        <v>105</v>
      </c>
      <c r="Q18" s="8" t="s">
        <v>516</v>
      </c>
      <c r="R18" s="8" t="s">
        <v>510</v>
      </c>
      <c r="S18" s="8" t="s">
        <v>517</v>
      </c>
      <c r="T18" s="8" t="s">
        <v>121</v>
      </c>
      <c r="U18" s="8" t="s">
        <v>203</v>
      </c>
      <c r="V18" s="9" t="s">
        <v>111</v>
      </c>
    </row>
    <row r="19" ht="28" spans="1:22">
      <c r="A19" s="10" t="s">
        <v>1929</v>
      </c>
      <c r="B19" s="11" t="s">
        <v>887</v>
      </c>
      <c r="C19" s="11" t="s">
        <v>1850</v>
      </c>
      <c r="D19" s="11" t="s">
        <v>1930</v>
      </c>
      <c r="E19" s="11" t="s">
        <v>1816</v>
      </c>
      <c r="F19" s="11" t="s">
        <v>1874</v>
      </c>
      <c r="G19" s="11" t="s">
        <v>1931</v>
      </c>
      <c r="H19" s="11" t="s">
        <v>1932</v>
      </c>
      <c r="I19" s="11" t="s">
        <v>1819</v>
      </c>
      <c r="J19" s="11" t="s">
        <v>1820</v>
      </c>
      <c r="K19" s="11" t="s">
        <v>1933</v>
      </c>
      <c r="L19" s="11" t="s">
        <v>1934</v>
      </c>
      <c r="M19" s="11" t="s">
        <v>101</v>
      </c>
      <c r="N19" s="11" t="s">
        <v>1935</v>
      </c>
      <c r="O19" s="11" t="s">
        <v>1936</v>
      </c>
      <c r="P19" s="11" t="s">
        <v>105</v>
      </c>
      <c r="Q19" s="11" t="s">
        <v>886</v>
      </c>
      <c r="R19" s="11" t="s">
        <v>887</v>
      </c>
      <c r="S19" s="11" t="s">
        <v>888</v>
      </c>
      <c r="T19" s="11" t="s">
        <v>109</v>
      </c>
      <c r="U19" s="11" t="s">
        <v>110</v>
      </c>
      <c r="V19" s="12" t="s">
        <v>111</v>
      </c>
    </row>
    <row r="20" ht="28" spans="1:22">
      <c r="A20" s="7" t="s">
        <v>1937</v>
      </c>
      <c r="B20" s="8" t="s">
        <v>893</v>
      </c>
      <c r="C20" s="8" t="s">
        <v>1938</v>
      </c>
      <c r="D20" s="8" t="s">
        <v>1939</v>
      </c>
      <c r="E20" s="8" t="s">
        <v>1816</v>
      </c>
      <c r="F20" s="8" t="s">
        <v>1874</v>
      </c>
      <c r="G20" s="8" t="s">
        <v>1940</v>
      </c>
      <c r="H20" s="8" t="s">
        <v>1941</v>
      </c>
      <c r="I20" s="8" t="s">
        <v>1819</v>
      </c>
      <c r="J20" s="8" t="s">
        <v>1820</v>
      </c>
      <c r="K20" s="8" t="s">
        <v>1942</v>
      </c>
      <c r="L20" s="8" t="s">
        <v>1943</v>
      </c>
      <c r="M20" s="8" t="s">
        <v>101</v>
      </c>
      <c r="N20" s="8" t="s">
        <v>1944</v>
      </c>
      <c r="O20" s="8" t="s">
        <v>1936</v>
      </c>
      <c r="P20" s="8" t="s">
        <v>105</v>
      </c>
      <c r="Q20" s="8" t="s">
        <v>892</v>
      </c>
      <c r="R20" s="8" t="s">
        <v>893</v>
      </c>
      <c r="S20" s="8" t="s">
        <v>894</v>
      </c>
      <c r="T20" s="8" t="s">
        <v>109</v>
      </c>
      <c r="U20" s="8" t="s">
        <v>110</v>
      </c>
      <c r="V20" s="9" t="s">
        <v>111</v>
      </c>
    </row>
    <row r="21" ht="28" spans="1:22">
      <c r="A21" s="10" t="s">
        <v>1945</v>
      </c>
      <c r="B21" s="11" t="s">
        <v>568</v>
      </c>
      <c r="C21" s="11" t="s">
        <v>1938</v>
      </c>
      <c r="D21" s="11" t="s">
        <v>1946</v>
      </c>
      <c r="E21" s="11" t="s">
        <v>1947</v>
      </c>
      <c r="F21" s="11" t="s">
        <v>1948</v>
      </c>
      <c r="G21" s="11" t="s">
        <v>1949</v>
      </c>
      <c r="H21" s="11" t="s">
        <v>1941</v>
      </c>
      <c r="I21" s="11" t="s">
        <v>1950</v>
      </c>
      <c r="J21" s="11" t="s">
        <v>1951</v>
      </c>
      <c r="K21" s="11" t="s">
        <v>1952</v>
      </c>
      <c r="L21" s="11" t="s">
        <v>1953</v>
      </c>
      <c r="M21" s="11" t="s">
        <v>100</v>
      </c>
      <c r="N21" s="11" t="s">
        <v>1954</v>
      </c>
      <c r="O21" s="11" t="s">
        <v>1955</v>
      </c>
      <c r="P21" s="11" t="s">
        <v>276</v>
      </c>
      <c r="Q21" s="11" t="s">
        <v>576</v>
      </c>
      <c r="R21" s="11" t="s">
        <v>568</v>
      </c>
      <c r="S21" s="11" t="s">
        <v>577</v>
      </c>
      <c r="T21" s="11" t="s">
        <v>121</v>
      </c>
      <c r="U21" s="11" t="s">
        <v>203</v>
      </c>
      <c r="V21" s="12" t="s">
        <v>111</v>
      </c>
    </row>
    <row r="22" spans="1:22">
      <c r="A22" s="7" t="s">
        <v>1956</v>
      </c>
      <c r="B22" s="8" t="s">
        <v>580</v>
      </c>
      <c r="C22" s="8" t="s">
        <v>1343</v>
      </c>
      <c r="D22" s="8" t="s">
        <v>1957</v>
      </c>
      <c r="E22" s="8" t="s">
        <v>1958</v>
      </c>
      <c r="F22" s="8" t="s">
        <v>1959</v>
      </c>
      <c r="G22" s="8" t="s">
        <v>1960</v>
      </c>
      <c r="H22" s="8" t="s">
        <v>1961</v>
      </c>
      <c r="I22" s="8" t="s">
        <v>442</v>
      </c>
      <c r="J22" s="8" t="s">
        <v>1962</v>
      </c>
      <c r="K22" s="8" t="s">
        <v>1963</v>
      </c>
      <c r="L22" s="8" t="s">
        <v>1964</v>
      </c>
      <c r="M22" s="8" t="s">
        <v>101</v>
      </c>
      <c r="N22" s="8" t="s">
        <v>1965</v>
      </c>
      <c r="O22" s="8" t="s">
        <v>1832</v>
      </c>
      <c r="P22" s="8" t="s">
        <v>276</v>
      </c>
      <c r="Q22" s="8" t="s">
        <v>588</v>
      </c>
      <c r="R22" s="8" t="s">
        <v>580</v>
      </c>
      <c r="S22" s="8" t="s">
        <v>589</v>
      </c>
      <c r="T22" s="8" t="s">
        <v>121</v>
      </c>
      <c r="U22" s="8" t="s">
        <v>203</v>
      </c>
      <c r="V22" s="9" t="s">
        <v>111</v>
      </c>
    </row>
    <row r="23" ht="28" spans="1:22">
      <c r="A23" s="10" t="s">
        <v>1966</v>
      </c>
      <c r="B23" s="11" t="s">
        <v>592</v>
      </c>
      <c r="C23" s="11" t="s">
        <v>1369</v>
      </c>
      <c r="D23" s="11" t="s">
        <v>1967</v>
      </c>
      <c r="E23" s="11" t="s">
        <v>1958</v>
      </c>
      <c r="F23" s="11" t="s">
        <v>1968</v>
      </c>
      <c r="G23" s="11" t="s">
        <v>1969</v>
      </c>
      <c r="H23" s="11" t="s">
        <v>1902</v>
      </c>
      <c r="I23" s="11" t="s">
        <v>442</v>
      </c>
      <c r="J23" s="11" t="s">
        <v>1970</v>
      </c>
      <c r="K23" s="11" t="s">
        <v>597</v>
      </c>
      <c r="L23" s="11" t="s">
        <v>1971</v>
      </c>
      <c r="M23" s="11" t="s">
        <v>100</v>
      </c>
      <c r="N23" s="11" t="s">
        <v>1972</v>
      </c>
      <c r="O23" s="11" t="s">
        <v>1973</v>
      </c>
      <c r="P23" s="11" t="s">
        <v>276</v>
      </c>
      <c r="Q23" s="11" t="s">
        <v>598</v>
      </c>
      <c r="R23" s="11" t="s">
        <v>599</v>
      </c>
      <c r="S23" s="11" t="s">
        <v>600</v>
      </c>
      <c r="T23" s="11" t="s">
        <v>109</v>
      </c>
      <c r="U23" s="11" t="s">
        <v>203</v>
      </c>
      <c r="V23" s="12" t="s">
        <v>111</v>
      </c>
    </row>
    <row r="24" ht="28" spans="1:22">
      <c r="A24" s="7" t="s">
        <v>1974</v>
      </c>
      <c r="B24" s="8" t="s">
        <v>603</v>
      </c>
      <c r="C24" s="8" t="s">
        <v>1850</v>
      </c>
      <c r="D24" s="8" t="s">
        <v>1967</v>
      </c>
      <c r="E24" s="8" t="s">
        <v>1958</v>
      </c>
      <c r="F24" s="8" t="s">
        <v>602</v>
      </c>
      <c r="G24" s="8" t="s">
        <v>1975</v>
      </c>
      <c r="H24" s="8" t="s">
        <v>1902</v>
      </c>
      <c r="I24" s="8" t="s">
        <v>442</v>
      </c>
      <c r="J24" s="8" t="s">
        <v>1970</v>
      </c>
      <c r="K24" s="8" t="s">
        <v>1976</v>
      </c>
      <c r="L24" s="8" t="s">
        <v>1977</v>
      </c>
      <c r="M24" s="8" t="s">
        <v>100</v>
      </c>
      <c r="N24" s="8" t="s">
        <v>1978</v>
      </c>
      <c r="O24" s="8" t="s">
        <v>1973</v>
      </c>
      <c r="P24" s="8" t="s">
        <v>276</v>
      </c>
      <c r="Q24" s="8" t="s">
        <v>607</v>
      </c>
      <c r="R24" s="8" t="s">
        <v>608</v>
      </c>
      <c r="S24" s="8" t="s">
        <v>609</v>
      </c>
      <c r="T24" s="8" t="s">
        <v>121</v>
      </c>
      <c r="U24" s="8" t="s">
        <v>203</v>
      </c>
      <c r="V24" s="9" t="s">
        <v>111</v>
      </c>
    </row>
    <row r="25" ht="41" spans="1:22">
      <c r="A25" s="10" t="s">
        <v>1979</v>
      </c>
      <c r="B25" s="11" t="s">
        <v>612</v>
      </c>
      <c r="C25" s="11" t="s">
        <v>1850</v>
      </c>
      <c r="D25" s="11" t="s">
        <v>1980</v>
      </c>
      <c r="E25" s="11" t="s">
        <v>1981</v>
      </c>
      <c r="F25" s="11" t="s">
        <v>1982</v>
      </c>
      <c r="G25" s="11" t="s">
        <v>1983</v>
      </c>
      <c r="H25" s="11" t="s">
        <v>1902</v>
      </c>
      <c r="I25" s="11" t="s">
        <v>442</v>
      </c>
      <c r="J25" s="11" t="s">
        <v>1984</v>
      </c>
      <c r="K25" s="11" t="s">
        <v>620</v>
      </c>
      <c r="L25" s="11" t="s">
        <v>1985</v>
      </c>
      <c r="M25" s="11" t="s">
        <v>101</v>
      </c>
      <c r="N25" s="11" t="s">
        <v>1986</v>
      </c>
      <c r="O25" s="11" t="s">
        <v>1987</v>
      </c>
      <c r="P25" s="11" t="s">
        <v>276</v>
      </c>
      <c r="Q25" s="11" t="s">
        <v>621</v>
      </c>
      <c r="R25" s="11" t="s">
        <v>622</v>
      </c>
      <c r="S25" s="11" t="s">
        <v>623</v>
      </c>
      <c r="T25" s="11" t="s">
        <v>109</v>
      </c>
      <c r="U25" s="11" t="s">
        <v>203</v>
      </c>
      <c r="V25" s="12" t="s">
        <v>111</v>
      </c>
    </row>
    <row r="26" ht="41" spans="1:22">
      <c r="A26" s="7" t="s">
        <v>1988</v>
      </c>
      <c r="B26" s="8" t="s">
        <v>626</v>
      </c>
      <c r="C26" s="8" t="s">
        <v>1343</v>
      </c>
      <c r="D26" s="8" t="s">
        <v>1989</v>
      </c>
      <c r="E26" s="8" t="s">
        <v>1990</v>
      </c>
      <c r="F26" s="8" t="s">
        <v>1991</v>
      </c>
      <c r="G26" s="8" t="s">
        <v>1992</v>
      </c>
      <c r="H26" s="8" t="s">
        <v>1902</v>
      </c>
      <c r="I26" s="8" t="s">
        <v>442</v>
      </c>
      <c r="J26" s="8" t="s">
        <v>1993</v>
      </c>
      <c r="K26" s="8" t="s">
        <v>597</v>
      </c>
      <c r="L26" s="8" t="s">
        <v>1994</v>
      </c>
      <c r="M26" s="8" t="s">
        <v>100</v>
      </c>
      <c r="N26" s="8" t="s">
        <v>1995</v>
      </c>
      <c r="O26" s="8" t="s">
        <v>1973</v>
      </c>
      <c r="P26" s="8" t="s">
        <v>276</v>
      </c>
      <c r="Q26" s="8" t="s">
        <v>632</v>
      </c>
      <c r="R26" s="8" t="s">
        <v>633</v>
      </c>
      <c r="S26" s="8" t="s">
        <v>634</v>
      </c>
      <c r="T26" s="8" t="s">
        <v>109</v>
      </c>
      <c r="U26" s="8" t="s">
        <v>203</v>
      </c>
      <c r="V26" s="9" t="s">
        <v>111</v>
      </c>
    </row>
    <row r="27" ht="55" spans="1:22">
      <c r="A27" s="10" t="s">
        <v>1996</v>
      </c>
      <c r="B27" s="11" t="s">
        <v>637</v>
      </c>
      <c r="C27" s="11" t="s">
        <v>1997</v>
      </c>
      <c r="D27" s="11" t="s">
        <v>1998</v>
      </c>
      <c r="E27" s="11" t="s">
        <v>1999</v>
      </c>
      <c r="F27" s="11" t="s">
        <v>2000</v>
      </c>
      <c r="G27" s="11" t="s">
        <v>2001</v>
      </c>
      <c r="H27" s="11" t="s">
        <v>1941</v>
      </c>
      <c r="I27" s="11" t="s">
        <v>2002</v>
      </c>
      <c r="J27" s="11" t="s">
        <v>1993</v>
      </c>
      <c r="K27" s="11" t="s">
        <v>2003</v>
      </c>
      <c r="L27" s="11" t="s">
        <v>2004</v>
      </c>
      <c r="M27" s="11" t="s">
        <v>100</v>
      </c>
      <c r="N27" s="11" t="s">
        <v>2005</v>
      </c>
      <c r="O27" s="11" t="s">
        <v>2006</v>
      </c>
      <c r="P27" s="11" t="s">
        <v>276</v>
      </c>
      <c r="Q27" s="11" t="s">
        <v>2007</v>
      </c>
      <c r="R27" s="11" t="s">
        <v>2008</v>
      </c>
      <c r="S27" s="11" t="s">
        <v>2009</v>
      </c>
      <c r="T27" s="11" t="s">
        <v>109</v>
      </c>
      <c r="U27" s="11" t="s">
        <v>110</v>
      </c>
      <c r="V27" s="12" t="s">
        <v>111</v>
      </c>
    </row>
    <row r="28" ht="28" spans="1:22">
      <c r="A28" s="7" t="s">
        <v>2010</v>
      </c>
      <c r="B28" s="8" t="s">
        <v>729</v>
      </c>
      <c r="C28" s="8" t="s">
        <v>1369</v>
      </c>
      <c r="D28" s="8" t="s">
        <v>2011</v>
      </c>
      <c r="E28" s="8" t="s">
        <v>2012</v>
      </c>
      <c r="F28" s="8" t="s">
        <v>728</v>
      </c>
      <c r="G28" s="8" t="s">
        <v>2013</v>
      </c>
      <c r="H28" s="8" t="s">
        <v>2014</v>
      </c>
      <c r="I28" s="8" t="s">
        <v>442</v>
      </c>
      <c r="J28" s="8" t="s">
        <v>2015</v>
      </c>
      <c r="K28" s="8" t="s">
        <v>2016</v>
      </c>
      <c r="L28" s="8" t="s">
        <v>2017</v>
      </c>
      <c r="M28" s="8" t="s">
        <v>100</v>
      </c>
      <c r="N28" s="8" t="s">
        <v>2018</v>
      </c>
      <c r="O28" s="8" t="s">
        <v>723</v>
      </c>
      <c r="P28" s="8" t="s">
        <v>276</v>
      </c>
      <c r="Q28" s="8" t="s">
        <v>598</v>
      </c>
      <c r="R28" s="8" t="s">
        <v>599</v>
      </c>
      <c r="S28" s="8" t="s">
        <v>600</v>
      </c>
      <c r="T28" s="8" t="s">
        <v>109</v>
      </c>
      <c r="U28" s="8" t="s">
        <v>203</v>
      </c>
      <c r="V28" s="9" t="s">
        <v>111</v>
      </c>
    </row>
    <row r="29" ht="28" spans="1:22">
      <c r="A29" s="10" t="s">
        <v>2019</v>
      </c>
      <c r="B29" s="11" t="s">
        <v>2020</v>
      </c>
      <c r="C29" s="11" t="s">
        <v>1850</v>
      </c>
      <c r="D29" s="11" t="s">
        <v>2021</v>
      </c>
      <c r="E29" s="11" t="s">
        <v>2012</v>
      </c>
      <c r="F29" s="11" t="s">
        <v>2022</v>
      </c>
      <c r="G29" s="11" t="s">
        <v>2023</v>
      </c>
      <c r="H29" s="11" t="s">
        <v>2014</v>
      </c>
      <c r="I29" s="11" t="s">
        <v>442</v>
      </c>
      <c r="J29" s="11" t="s">
        <v>2024</v>
      </c>
      <c r="K29" s="11" t="s">
        <v>2025</v>
      </c>
      <c r="L29" s="11" t="s">
        <v>2026</v>
      </c>
      <c r="M29" s="11" t="s">
        <v>135</v>
      </c>
      <c r="N29" s="11" t="s">
        <v>2027</v>
      </c>
      <c r="O29" s="11" t="s">
        <v>606</v>
      </c>
      <c r="P29" s="11" t="s">
        <v>276</v>
      </c>
      <c r="Q29" s="11" t="s">
        <v>607</v>
      </c>
      <c r="R29" s="11" t="s">
        <v>608</v>
      </c>
      <c r="S29" s="11" t="s">
        <v>609</v>
      </c>
      <c r="T29" s="11" t="s">
        <v>121</v>
      </c>
      <c r="U29" s="11" t="s">
        <v>203</v>
      </c>
      <c r="V29" s="12" t="s">
        <v>111</v>
      </c>
    </row>
    <row r="30" ht="28" spans="1:22">
      <c r="A30" s="7" t="s">
        <v>2028</v>
      </c>
      <c r="B30" s="8" t="s">
        <v>737</v>
      </c>
      <c r="C30" s="8" t="s">
        <v>1938</v>
      </c>
      <c r="D30" s="8" t="s">
        <v>2029</v>
      </c>
      <c r="E30" s="8" t="s">
        <v>2030</v>
      </c>
      <c r="F30" s="8" t="s">
        <v>2031</v>
      </c>
      <c r="G30" s="8" t="s">
        <v>2032</v>
      </c>
      <c r="H30" s="8" t="s">
        <v>2014</v>
      </c>
      <c r="I30" s="8" t="s">
        <v>442</v>
      </c>
      <c r="J30" s="8" t="s">
        <v>2024</v>
      </c>
      <c r="K30" s="8" t="s">
        <v>2033</v>
      </c>
      <c r="L30" s="8" t="s">
        <v>2034</v>
      </c>
      <c r="M30" s="8" t="s">
        <v>100</v>
      </c>
      <c r="N30" s="8" t="s">
        <v>2035</v>
      </c>
      <c r="O30" s="8" t="s">
        <v>1973</v>
      </c>
      <c r="P30" s="8" t="s">
        <v>276</v>
      </c>
      <c r="Q30" s="8" t="s">
        <v>607</v>
      </c>
      <c r="R30" s="8" t="s">
        <v>608</v>
      </c>
      <c r="S30" s="8" t="s">
        <v>609</v>
      </c>
      <c r="T30" s="8" t="s">
        <v>121</v>
      </c>
      <c r="U30" s="8" t="s">
        <v>203</v>
      </c>
      <c r="V30" s="9" t="s">
        <v>111</v>
      </c>
    </row>
    <row r="31" spans="1:22">
      <c r="A31" s="10" t="s">
        <v>2036</v>
      </c>
      <c r="B31" s="11" t="s">
        <v>2037</v>
      </c>
      <c r="C31" s="11" t="s">
        <v>1369</v>
      </c>
      <c r="D31" s="11" t="s">
        <v>2038</v>
      </c>
      <c r="E31" s="11" t="s">
        <v>2039</v>
      </c>
      <c r="F31" s="11" t="s">
        <v>2040</v>
      </c>
      <c r="G31" s="11" t="s">
        <v>2041</v>
      </c>
      <c r="H31" s="11" t="s">
        <v>310</v>
      </c>
      <c r="I31" s="11" t="s">
        <v>442</v>
      </c>
      <c r="J31" s="11" t="s">
        <v>2024</v>
      </c>
      <c r="K31" s="11" t="s">
        <v>2042</v>
      </c>
      <c r="L31" s="11" t="s">
        <v>2043</v>
      </c>
      <c r="M31" s="11" t="s">
        <v>135</v>
      </c>
      <c r="N31" s="11" t="s">
        <v>2044</v>
      </c>
      <c r="O31" s="11" t="s">
        <v>606</v>
      </c>
      <c r="P31" s="11" t="s">
        <v>276</v>
      </c>
      <c r="Q31" s="11" t="s">
        <v>758</v>
      </c>
      <c r="R31" s="11" t="s">
        <v>759</v>
      </c>
      <c r="S31" s="11" t="s">
        <v>760</v>
      </c>
      <c r="T31" s="11" t="s">
        <v>121</v>
      </c>
      <c r="U31" s="11" t="s">
        <v>203</v>
      </c>
      <c r="V31" s="12" t="s">
        <v>111</v>
      </c>
    </row>
    <row r="32" spans="1:22">
      <c r="A32" s="7" t="s">
        <v>2045</v>
      </c>
      <c r="B32" s="8" t="s">
        <v>2046</v>
      </c>
      <c r="C32" s="8" t="s">
        <v>1850</v>
      </c>
      <c r="D32" s="8" t="s">
        <v>2047</v>
      </c>
      <c r="E32" s="8" t="s">
        <v>2048</v>
      </c>
      <c r="F32" s="8" t="s">
        <v>2049</v>
      </c>
      <c r="G32" s="8" t="s">
        <v>2050</v>
      </c>
      <c r="H32" s="8" t="s">
        <v>2014</v>
      </c>
      <c r="I32" s="8" t="s">
        <v>442</v>
      </c>
      <c r="J32" s="8" t="s">
        <v>2051</v>
      </c>
      <c r="K32" s="8" t="s">
        <v>2052</v>
      </c>
      <c r="L32" s="8" t="s">
        <v>2053</v>
      </c>
      <c r="M32" s="8" t="s">
        <v>100</v>
      </c>
      <c r="N32" s="8" t="s">
        <v>2054</v>
      </c>
      <c r="O32" s="8" t="s">
        <v>723</v>
      </c>
      <c r="P32" s="8" t="s">
        <v>276</v>
      </c>
      <c r="Q32" s="8" t="s">
        <v>750</v>
      </c>
      <c r="R32" s="8" t="s">
        <v>744</v>
      </c>
      <c r="S32" s="8" t="s">
        <v>751</v>
      </c>
      <c r="T32" s="8" t="s">
        <v>121</v>
      </c>
      <c r="U32" s="8" t="s">
        <v>203</v>
      </c>
      <c r="V32" s="9" t="s">
        <v>111</v>
      </c>
    </row>
    <row r="33" ht="28" spans="1:22">
      <c r="A33" s="10" t="s">
        <v>2055</v>
      </c>
      <c r="B33" s="11" t="s">
        <v>647</v>
      </c>
      <c r="C33" s="11" t="s">
        <v>2056</v>
      </c>
      <c r="D33" s="11" t="s">
        <v>646</v>
      </c>
      <c r="E33" s="11" t="s">
        <v>1990</v>
      </c>
      <c r="F33" s="11" t="s">
        <v>646</v>
      </c>
      <c r="G33" s="11" t="s">
        <v>2057</v>
      </c>
      <c r="H33" s="11" t="s">
        <v>1902</v>
      </c>
      <c r="I33" s="11" t="s">
        <v>442</v>
      </c>
      <c r="J33" s="11" t="s">
        <v>2024</v>
      </c>
      <c r="K33" s="11" t="s">
        <v>2058</v>
      </c>
      <c r="L33" s="11" t="s">
        <v>2059</v>
      </c>
      <c r="M33" s="11" t="s">
        <v>100</v>
      </c>
      <c r="N33" s="11" t="s">
        <v>2060</v>
      </c>
      <c r="O33" s="11" t="s">
        <v>1973</v>
      </c>
      <c r="P33" s="11" t="s">
        <v>276</v>
      </c>
      <c r="Q33" s="11" t="s">
        <v>598</v>
      </c>
      <c r="R33" s="11" t="s">
        <v>599</v>
      </c>
      <c r="S33" s="11" t="s">
        <v>600</v>
      </c>
      <c r="T33" s="11" t="s">
        <v>109</v>
      </c>
      <c r="U33" s="11" t="s">
        <v>203</v>
      </c>
      <c r="V33" s="12" t="s">
        <v>111</v>
      </c>
    </row>
    <row r="34" ht="28" spans="1:22">
      <c r="A34" s="7" t="s">
        <v>2061</v>
      </c>
      <c r="B34" s="8" t="s">
        <v>661</v>
      </c>
      <c r="C34" s="8" t="s">
        <v>2062</v>
      </c>
      <c r="D34" s="8" t="s">
        <v>2063</v>
      </c>
      <c r="E34" s="8" t="s">
        <v>1990</v>
      </c>
      <c r="F34" s="8" t="s">
        <v>660</v>
      </c>
      <c r="G34" s="8" t="s">
        <v>2057</v>
      </c>
      <c r="H34" s="8" t="s">
        <v>310</v>
      </c>
      <c r="I34" s="8" t="s">
        <v>442</v>
      </c>
      <c r="J34" s="8" t="s">
        <v>2024</v>
      </c>
      <c r="K34" s="8" t="s">
        <v>666</v>
      </c>
      <c r="L34" s="8" t="s">
        <v>2064</v>
      </c>
      <c r="M34" s="8" t="s">
        <v>100</v>
      </c>
      <c r="N34" s="8" t="s">
        <v>2065</v>
      </c>
      <c r="O34" s="8" t="s">
        <v>723</v>
      </c>
      <c r="P34" s="8" t="s">
        <v>276</v>
      </c>
      <c r="Q34" s="8" t="s">
        <v>598</v>
      </c>
      <c r="R34" s="8" t="s">
        <v>599</v>
      </c>
      <c r="S34" s="8" t="s">
        <v>600</v>
      </c>
      <c r="T34" s="8" t="s">
        <v>109</v>
      </c>
      <c r="U34" s="8" t="s">
        <v>203</v>
      </c>
      <c r="V34" s="9" t="s">
        <v>111</v>
      </c>
    </row>
    <row r="35" ht="28" spans="1:22">
      <c r="A35" s="10" t="s">
        <v>2066</v>
      </c>
      <c r="B35" s="11" t="s">
        <v>655</v>
      </c>
      <c r="C35" s="11" t="s">
        <v>2067</v>
      </c>
      <c r="D35" s="11" t="s">
        <v>2063</v>
      </c>
      <c r="E35" s="11" t="s">
        <v>1990</v>
      </c>
      <c r="F35" s="11" t="s">
        <v>654</v>
      </c>
      <c r="G35" s="11" t="s">
        <v>2057</v>
      </c>
      <c r="H35" s="11" t="s">
        <v>1902</v>
      </c>
      <c r="I35" s="11" t="s">
        <v>442</v>
      </c>
      <c r="J35" s="11" t="s">
        <v>2024</v>
      </c>
      <c r="K35" s="11" t="s">
        <v>658</v>
      </c>
      <c r="L35" s="11" t="s">
        <v>2068</v>
      </c>
      <c r="M35" s="11" t="s">
        <v>100</v>
      </c>
      <c r="N35" s="11" t="s">
        <v>2069</v>
      </c>
      <c r="O35" s="11" t="s">
        <v>1973</v>
      </c>
      <c r="P35" s="11" t="s">
        <v>276</v>
      </c>
      <c r="Q35" s="11" t="s">
        <v>598</v>
      </c>
      <c r="R35" s="11" t="s">
        <v>599</v>
      </c>
      <c r="S35" s="11" t="s">
        <v>600</v>
      </c>
      <c r="T35" s="11" t="s">
        <v>109</v>
      </c>
      <c r="U35" s="11" t="s">
        <v>203</v>
      </c>
      <c r="V35" s="12" t="s">
        <v>111</v>
      </c>
    </row>
    <row r="36" ht="28" spans="1:22">
      <c r="A36" s="7" t="s">
        <v>2070</v>
      </c>
      <c r="B36" s="8" t="s">
        <v>669</v>
      </c>
      <c r="C36" s="8" t="s">
        <v>1343</v>
      </c>
      <c r="D36" s="8" t="s">
        <v>2071</v>
      </c>
      <c r="E36" s="8" t="s">
        <v>1990</v>
      </c>
      <c r="F36" s="8" t="s">
        <v>668</v>
      </c>
      <c r="G36" s="8" t="s">
        <v>2057</v>
      </c>
      <c r="H36" s="8" t="s">
        <v>310</v>
      </c>
      <c r="I36" s="8" t="s">
        <v>442</v>
      </c>
      <c r="J36" s="8" t="s">
        <v>2024</v>
      </c>
      <c r="K36" s="8" t="s">
        <v>2072</v>
      </c>
      <c r="L36" s="8" t="s">
        <v>2073</v>
      </c>
      <c r="M36" s="8" t="s">
        <v>135</v>
      </c>
      <c r="N36" s="8" t="s">
        <v>2074</v>
      </c>
      <c r="O36" s="8" t="s">
        <v>672</v>
      </c>
      <c r="P36" s="8" t="s">
        <v>276</v>
      </c>
      <c r="Q36" s="8" t="s">
        <v>598</v>
      </c>
      <c r="R36" s="8" t="s">
        <v>599</v>
      </c>
      <c r="S36" s="8" t="s">
        <v>600</v>
      </c>
      <c r="T36" s="8" t="s">
        <v>109</v>
      </c>
      <c r="U36" s="8" t="s">
        <v>203</v>
      </c>
      <c r="V36" s="9" t="s">
        <v>111</v>
      </c>
    </row>
    <row r="37" ht="28" spans="1:22">
      <c r="A37" s="10" t="s">
        <v>2075</v>
      </c>
      <c r="B37" s="11" t="s">
        <v>2076</v>
      </c>
      <c r="C37" s="11" t="s">
        <v>1343</v>
      </c>
      <c r="D37" s="11" t="s">
        <v>2077</v>
      </c>
      <c r="E37" s="11" t="s">
        <v>2078</v>
      </c>
      <c r="F37" s="11" t="s">
        <v>797</v>
      </c>
      <c r="G37" s="11" t="s">
        <v>2057</v>
      </c>
      <c r="H37" s="11" t="s">
        <v>310</v>
      </c>
      <c r="I37" s="11" t="s">
        <v>442</v>
      </c>
      <c r="J37" s="11" t="s">
        <v>2079</v>
      </c>
      <c r="K37" s="11" t="s">
        <v>666</v>
      </c>
      <c r="L37" s="11" t="s">
        <v>2080</v>
      </c>
      <c r="M37" s="11" t="s">
        <v>135</v>
      </c>
      <c r="N37" s="11" t="s">
        <v>2081</v>
      </c>
      <c r="O37" s="11" t="s">
        <v>672</v>
      </c>
      <c r="P37" s="11" t="s">
        <v>276</v>
      </c>
      <c r="Q37" s="11" t="s">
        <v>598</v>
      </c>
      <c r="R37" s="11" t="s">
        <v>599</v>
      </c>
      <c r="S37" s="11" t="s">
        <v>600</v>
      </c>
      <c r="T37" s="11" t="s">
        <v>109</v>
      </c>
      <c r="U37" s="11" t="s">
        <v>203</v>
      </c>
      <c r="V37" s="12" t="s">
        <v>111</v>
      </c>
    </row>
    <row r="38" ht="28" spans="1:22">
      <c r="A38" s="7" t="s">
        <v>2082</v>
      </c>
      <c r="B38" s="8" t="s">
        <v>2083</v>
      </c>
      <c r="C38" s="8" t="s">
        <v>2084</v>
      </c>
      <c r="D38" s="8" t="s">
        <v>2085</v>
      </c>
      <c r="E38" s="8" t="s">
        <v>2086</v>
      </c>
      <c r="F38" s="8" t="s">
        <v>2087</v>
      </c>
      <c r="G38" s="8" t="s">
        <v>2057</v>
      </c>
      <c r="H38" s="8" t="s">
        <v>1902</v>
      </c>
      <c r="I38" s="8" t="s">
        <v>442</v>
      </c>
      <c r="J38" s="8" t="s">
        <v>2024</v>
      </c>
      <c r="K38" s="8" t="s">
        <v>2088</v>
      </c>
      <c r="L38" s="8" t="s">
        <v>2089</v>
      </c>
      <c r="M38" s="8" t="s">
        <v>135</v>
      </c>
      <c r="N38" s="8" t="s">
        <v>2090</v>
      </c>
      <c r="O38" s="8" t="s">
        <v>606</v>
      </c>
      <c r="P38" s="8" t="s">
        <v>276</v>
      </c>
      <c r="Q38" s="8" t="s">
        <v>598</v>
      </c>
      <c r="R38" s="8" t="s">
        <v>599</v>
      </c>
      <c r="S38" s="8" t="s">
        <v>600</v>
      </c>
      <c r="T38" s="8" t="s">
        <v>109</v>
      </c>
      <c r="U38" s="8" t="s">
        <v>203</v>
      </c>
      <c r="V38" s="9" t="s">
        <v>111</v>
      </c>
    </row>
    <row r="39" ht="28" spans="1:22">
      <c r="A39" s="10" t="s">
        <v>2091</v>
      </c>
      <c r="B39" s="11" t="s">
        <v>2092</v>
      </c>
      <c r="C39" s="11" t="s">
        <v>2093</v>
      </c>
      <c r="D39" s="11" t="s">
        <v>2094</v>
      </c>
      <c r="E39" s="11" t="s">
        <v>2095</v>
      </c>
      <c r="F39" s="11" t="s">
        <v>780</v>
      </c>
      <c r="G39" s="11" t="s">
        <v>2057</v>
      </c>
      <c r="H39" s="11" t="s">
        <v>2096</v>
      </c>
      <c r="I39" s="11" t="s">
        <v>2097</v>
      </c>
      <c r="J39" s="11" t="s">
        <v>2024</v>
      </c>
      <c r="K39" s="11" t="s">
        <v>2098</v>
      </c>
      <c r="L39" s="11" t="s">
        <v>2099</v>
      </c>
      <c r="M39" s="11" t="s">
        <v>135</v>
      </c>
      <c r="N39" s="11" t="s">
        <v>2100</v>
      </c>
      <c r="O39" s="11" t="s">
        <v>2101</v>
      </c>
      <c r="P39" s="11" t="s">
        <v>276</v>
      </c>
      <c r="Q39" s="11" t="s">
        <v>598</v>
      </c>
      <c r="R39" s="11" t="s">
        <v>599</v>
      </c>
      <c r="S39" s="11" t="s">
        <v>600</v>
      </c>
      <c r="T39" s="11" t="s">
        <v>109</v>
      </c>
      <c r="U39" s="11" t="s">
        <v>203</v>
      </c>
      <c r="V39" s="12" t="s">
        <v>111</v>
      </c>
    </row>
    <row r="40" ht="28" spans="1:22">
      <c r="A40" s="7" t="s">
        <v>2102</v>
      </c>
      <c r="B40" s="8" t="s">
        <v>773</v>
      </c>
      <c r="C40" s="8" t="s">
        <v>1415</v>
      </c>
      <c r="D40" s="8" t="s">
        <v>2103</v>
      </c>
      <c r="E40" s="8" t="s">
        <v>2104</v>
      </c>
      <c r="F40" s="8" t="s">
        <v>772</v>
      </c>
      <c r="G40" s="8" t="s">
        <v>2057</v>
      </c>
      <c r="H40" s="8" t="s">
        <v>2105</v>
      </c>
      <c r="I40" s="8" t="s">
        <v>573</v>
      </c>
      <c r="J40" s="8" t="s">
        <v>2024</v>
      </c>
      <c r="K40" s="8" t="s">
        <v>2106</v>
      </c>
      <c r="L40" s="8" t="s">
        <v>2107</v>
      </c>
      <c r="M40" s="8" t="s">
        <v>100</v>
      </c>
      <c r="N40" s="8" t="s">
        <v>2108</v>
      </c>
      <c r="O40" s="8" t="s">
        <v>2006</v>
      </c>
      <c r="P40" s="8" t="s">
        <v>276</v>
      </c>
      <c r="Q40" s="8" t="s">
        <v>598</v>
      </c>
      <c r="R40" s="8" t="s">
        <v>599</v>
      </c>
      <c r="S40" s="8" t="s">
        <v>600</v>
      </c>
      <c r="T40" s="8" t="s">
        <v>109</v>
      </c>
      <c r="U40" s="8" t="s">
        <v>203</v>
      </c>
      <c r="V40" s="9" t="s">
        <v>111</v>
      </c>
    </row>
    <row r="41" ht="28" spans="1:22">
      <c r="A41" s="10" t="s">
        <v>2109</v>
      </c>
      <c r="B41" s="11" t="s">
        <v>805</v>
      </c>
      <c r="C41" s="11" t="s">
        <v>1359</v>
      </c>
      <c r="D41" s="11" t="s">
        <v>1908</v>
      </c>
      <c r="E41" s="11" t="s">
        <v>2110</v>
      </c>
      <c r="F41" s="11" t="s">
        <v>804</v>
      </c>
      <c r="G41" s="11" t="s">
        <v>2057</v>
      </c>
      <c r="H41" s="11" t="s">
        <v>2111</v>
      </c>
      <c r="I41" s="11" t="s">
        <v>442</v>
      </c>
      <c r="J41" s="11" t="s">
        <v>2024</v>
      </c>
      <c r="K41" s="11" t="s">
        <v>2112</v>
      </c>
      <c r="L41" s="11" t="s">
        <v>2113</v>
      </c>
      <c r="M41" s="11" t="s">
        <v>100</v>
      </c>
      <c r="N41" s="11" t="s">
        <v>2114</v>
      </c>
      <c r="O41" s="11" t="s">
        <v>672</v>
      </c>
      <c r="P41" s="11" t="s">
        <v>276</v>
      </c>
      <c r="Q41" s="11" t="s">
        <v>598</v>
      </c>
      <c r="R41" s="11" t="s">
        <v>599</v>
      </c>
      <c r="S41" s="11" t="s">
        <v>600</v>
      </c>
      <c r="T41" s="11" t="s">
        <v>109</v>
      </c>
      <c r="U41" s="11" t="s">
        <v>203</v>
      </c>
      <c r="V41" s="12" t="s">
        <v>111</v>
      </c>
    </row>
    <row r="42" ht="28" spans="1:22">
      <c r="A42" s="7" t="s">
        <v>2115</v>
      </c>
      <c r="B42" s="8" t="s">
        <v>2116</v>
      </c>
      <c r="C42" s="8" t="s">
        <v>1850</v>
      </c>
      <c r="D42" s="8" t="s">
        <v>782</v>
      </c>
      <c r="E42" s="8" t="s">
        <v>2117</v>
      </c>
      <c r="F42" s="8" t="s">
        <v>2118</v>
      </c>
      <c r="G42" s="8" t="s">
        <v>2057</v>
      </c>
      <c r="H42" s="8" t="s">
        <v>310</v>
      </c>
      <c r="I42" s="8" t="s">
        <v>442</v>
      </c>
      <c r="J42" s="8" t="s">
        <v>2119</v>
      </c>
      <c r="K42" s="8" t="s">
        <v>2120</v>
      </c>
      <c r="L42" s="8" t="s">
        <v>2121</v>
      </c>
      <c r="M42" s="8" t="s">
        <v>100</v>
      </c>
      <c r="N42" s="8" t="s">
        <v>2122</v>
      </c>
      <c r="O42" s="8" t="s">
        <v>2123</v>
      </c>
      <c r="P42" s="8" t="s">
        <v>276</v>
      </c>
      <c r="Q42" s="8" t="s">
        <v>598</v>
      </c>
      <c r="R42" s="8" t="s">
        <v>599</v>
      </c>
      <c r="S42" s="8" t="s">
        <v>600</v>
      </c>
      <c r="T42" s="8" t="s">
        <v>109</v>
      </c>
      <c r="U42" s="8" t="s">
        <v>203</v>
      </c>
      <c r="V42" s="9" t="s">
        <v>111</v>
      </c>
    </row>
    <row r="43" ht="28" spans="1:22">
      <c r="A43" s="10" t="s">
        <v>2124</v>
      </c>
      <c r="B43" s="11" t="s">
        <v>815</v>
      </c>
      <c r="C43" s="11" t="s">
        <v>2067</v>
      </c>
      <c r="D43" s="11" t="s">
        <v>2125</v>
      </c>
      <c r="E43" s="11" t="s">
        <v>2126</v>
      </c>
      <c r="F43" s="11" t="s">
        <v>814</v>
      </c>
      <c r="G43" s="11" t="s">
        <v>2057</v>
      </c>
      <c r="H43" s="11" t="s">
        <v>1902</v>
      </c>
      <c r="I43" s="11" t="s">
        <v>442</v>
      </c>
      <c r="J43" s="11" t="s">
        <v>2024</v>
      </c>
      <c r="K43" s="11" t="s">
        <v>2127</v>
      </c>
      <c r="L43" s="11" t="s">
        <v>2128</v>
      </c>
      <c r="M43" s="11" t="s">
        <v>100</v>
      </c>
      <c r="N43" s="11" t="s">
        <v>2129</v>
      </c>
      <c r="O43" s="11" t="s">
        <v>1973</v>
      </c>
      <c r="P43" s="11" t="s">
        <v>276</v>
      </c>
      <c r="Q43" s="11" t="s">
        <v>598</v>
      </c>
      <c r="R43" s="11" t="s">
        <v>599</v>
      </c>
      <c r="S43" s="11" t="s">
        <v>600</v>
      </c>
      <c r="T43" s="11" t="s">
        <v>109</v>
      </c>
      <c r="U43" s="11" t="s">
        <v>203</v>
      </c>
      <c r="V43" s="12" t="s">
        <v>111</v>
      </c>
    </row>
    <row r="44" ht="28" spans="1:22">
      <c r="A44" s="7" t="s">
        <v>2130</v>
      </c>
      <c r="B44" s="8" t="s">
        <v>789</v>
      </c>
      <c r="C44" s="8" t="s">
        <v>1369</v>
      </c>
      <c r="D44" s="8" t="s">
        <v>2131</v>
      </c>
      <c r="E44" s="8" t="s">
        <v>2132</v>
      </c>
      <c r="F44" s="8" t="s">
        <v>788</v>
      </c>
      <c r="G44" s="8" t="s">
        <v>2057</v>
      </c>
      <c r="H44" s="8" t="s">
        <v>2133</v>
      </c>
      <c r="I44" s="8" t="s">
        <v>2097</v>
      </c>
      <c r="J44" s="8" t="s">
        <v>2134</v>
      </c>
      <c r="K44" s="8" t="s">
        <v>794</v>
      </c>
      <c r="L44" s="8" t="s">
        <v>2135</v>
      </c>
      <c r="M44" s="8" t="s">
        <v>100</v>
      </c>
      <c r="N44" s="8" t="s">
        <v>2136</v>
      </c>
      <c r="O44" s="8" t="s">
        <v>2006</v>
      </c>
      <c r="P44" s="8" t="s">
        <v>276</v>
      </c>
      <c r="Q44" s="8" t="s">
        <v>598</v>
      </c>
      <c r="R44" s="8" t="s">
        <v>599</v>
      </c>
      <c r="S44" s="8" t="s">
        <v>600</v>
      </c>
      <c r="T44" s="8" t="s">
        <v>109</v>
      </c>
      <c r="U44" s="8" t="s">
        <v>203</v>
      </c>
      <c r="V44" s="9" t="s">
        <v>111</v>
      </c>
    </row>
    <row r="45" ht="28" spans="1:22">
      <c r="A45" s="10" t="s">
        <v>2137</v>
      </c>
      <c r="B45" s="11" t="s">
        <v>2138</v>
      </c>
      <c r="C45" s="11" t="s">
        <v>1369</v>
      </c>
      <c r="D45" s="11" t="s">
        <v>2139</v>
      </c>
      <c r="E45" s="11" t="s">
        <v>2140</v>
      </c>
      <c r="F45" s="11" t="s">
        <v>2141</v>
      </c>
      <c r="G45" s="11" t="s">
        <v>2057</v>
      </c>
      <c r="H45" s="11" t="s">
        <v>310</v>
      </c>
      <c r="I45" s="11" t="s">
        <v>442</v>
      </c>
      <c r="J45" s="11" t="s">
        <v>2024</v>
      </c>
      <c r="K45" s="11" t="s">
        <v>606</v>
      </c>
      <c r="L45" s="11" t="s">
        <v>2142</v>
      </c>
      <c r="M45" s="11" t="s">
        <v>135</v>
      </c>
      <c r="N45" s="11" t="s">
        <v>2143</v>
      </c>
      <c r="O45" s="11" t="s">
        <v>672</v>
      </c>
      <c r="P45" s="11" t="s">
        <v>276</v>
      </c>
      <c r="Q45" s="11" t="s">
        <v>598</v>
      </c>
      <c r="R45" s="11" t="s">
        <v>599</v>
      </c>
      <c r="S45" s="11" t="s">
        <v>600</v>
      </c>
      <c r="T45" s="11" t="s">
        <v>109</v>
      </c>
      <c r="U45" s="11" t="s">
        <v>203</v>
      </c>
      <c r="V45" s="12" t="s">
        <v>111</v>
      </c>
    </row>
    <row r="46" ht="28" spans="1:22">
      <c r="A46" s="7" t="s">
        <v>2144</v>
      </c>
      <c r="B46" s="8" t="s">
        <v>2145</v>
      </c>
      <c r="C46" s="8" t="s">
        <v>2146</v>
      </c>
      <c r="D46" s="8" t="s">
        <v>2147</v>
      </c>
      <c r="E46" s="8" t="s">
        <v>2148</v>
      </c>
      <c r="F46" s="8" t="s">
        <v>2149</v>
      </c>
      <c r="G46" s="8" t="s">
        <v>2057</v>
      </c>
      <c r="H46" s="8" t="s">
        <v>1902</v>
      </c>
      <c r="I46" s="8" t="s">
        <v>442</v>
      </c>
      <c r="J46" s="8" t="s">
        <v>2024</v>
      </c>
      <c r="K46" s="8" t="s">
        <v>794</v>
      </c>
      <c r="L46" s="8" t="s">
        <v>2150</v>
      </c>
      <c r="M46" s="8" t="s">
        <v>135</v>
      </c>
      <c r="N46" s="8" t="s">
        <v>2151</v>
      </c>
      <c r="O46" s="8" t="s">
        <v>672</v>
      </c>
      <c r="P46" s="8" t="s">
        <v>276</v>
      </c>
      <c r="Q46" s="8" t="s">
        <v>598</v>
      </c>
      <c r="R46" s="8" t="s">
        <v>599</v>
      </c>
      <c r="S46" s="8" t="s">
        <v>600</v>
      </c>
      <c r="T46" s="8" t="s">
        <v>109</v>
      </c>
      <c r="U46" s="8" t="s">
        <v>203</v>
      </c>
      <c r="V46" s="9" t="s">
        <v>111</v>
      </c>
    </row>
    <row r="47" ht="28" spans="1:22">
      <c r="A47" s="10" t="s">
        <v>2152</v>
      </c>
      <c r="B47" s="11" t="s">
        <v>2153</v>
      </c>
      <c r="C47" s="11" t="s">
        <v>2154</v>
      </c>
      <c r="D47" s="11" t="s">
        <v>2155</v>
      </c>
      <c r="E47" s="11" t="s">
        <v>2156</v>
      </c>
      <c r="F47" s="11" t="s">
        <v>2157</v>
      </c>
      <c r="G47" s="11" t="s">
        <v>2057</v>
      </c>
      <c r="H47" s="11" t="s">
        <v>2158</v>
      </c>
      <c r="I47" s="11" t="s">
        <v>573</v>
      </c>
      <c r="J47" s="11" t="s">
        <v>2024</v>
      </c>
      <c r="K47" s="11" t="s">
        <v>2159</v>
      </c>
      <c r="L47" s="11" t="s">
        <v>2160</v>
      </c>
      <c r="M47" s="11" t="s">
        <v>100</v>
      </c>
      <c r="N47" s="11" t="s">
        <v>2161</v>
      </c>
      <c r="O47" s="11" t="s">
        <v>1973</v>
      </c>
      <c r="P47" s="11" t="s">
        <v>276</v>
      </c>
      <c r="Q47" s="11" t="s">
        <v>598</v>
      </c>
      <c r="R47" s="11" t="s">
        <v>599</v>
      </c>
      <c r="S47" s="11" t="s">
        <v>600</v>
      </c>
      <c r="T47" s="11" t="s">
        <v>109</v>
      </c>
      <c r="U47" s="11" t="s">
        <v>203</v>
      </c>
      <c r="V47" s="12" t="s">
        <v>111</v>
      </c>
    </row>
    <row r="48" ht="28" spans="1:22">
      <c r="A48" s="7" t="s">
        <v>2162</v>
      </c>
      <c r="B48" s="8" t="s">
        <v>2163</v>
      </c>
      <c r="C48" s="8" t="s">
        <v>2164</v>
      </c>
      <c r="D48" s="8" t="s">
        <v>2165</v>
      </c>
      <c r="E48" s="8" t="s">
        <v>2166</v>
      </c>
      <c r="F48" s="8" t="s">
        <v>2167</v>
      </c>
      <c r="G48" s="8" t="s">
        <v>2057</v>
      </c>
      <c r="H48" s="8" t="s">
        <v>1902</v>
      </c>
      <c r="I48" s="8" t="s">
        <v>442</v>
      </c>
      <c r="J48" s="8" t="s">
        <v>2168</v>
      </c>
      <c r="K48" s="8" t="s">
        <v>658</v>
      </c>
      <c r="L48" s="8" t="s">
        <v>2169</v>
      </c>
      <c r="M48" s="8" t="s">
        <v>100</v>
      </c>
      <c r="N48" s="8" t="s">
        <v>2170</v>
      </c>
      <c r="O48" s="8" t="s">
        <v>1973</v>
      </c>
      <c r="P48" s="8" t="s">
        <v>276</v>
      </c>
      <c r="Q48" s="8" t="s">
        <v>598</v>
      </c>
      <c r="R48" s="8" t="s">
        <v>599</v>
      </c>
      <c r="S48" s="8" t="s">
        <v>600</v>
      </c>
      <c r="T48" s="8" t="s">
        <v>109</v>
      </c>
      <c r="U48" s="8" t="s">
        <v>203</v>
      </c>
      <c r="V48" s="9" t="s">
        <v>111</v>
      </c>
    </row>
    <row r="49" ht="28" spans="1:22">
      <c r="A49" s="10" t="s">
        <v>2171</v>
      </c>
      <c r="B49" s="11" t="s">
        <v>2172</v>
      </c>
      <c r="C49" s="11" t="s">
        <v>1369</v>
      </c>
      <c r="D49" s="11" t="s">
        <v>2173</v>
      </c>
      <c r="E49" s="11" t="s">
        <v>2174</v>
      </c>
      <c r="F49" s="11" t="s">
        <v>2175</v>
      </c>
      <c r="G49" s="11" t="s">
        <v>2057</v>
      </c>
      <c r="H49" s="11" t="s">
        <v>310</v>
      </c>
      <c r="I49" s="11" t="s">
        <v>442</v>
      </c>
      <c r="J49" s="11" t="s">
        <v>2176</v>
      </c>
      <c r="K49" s="11" t="s">
        <v>606</v>
      </c>
      <c r="L49" s="11" t="s">
        <v>2177</v>
      </c>
      <c r="M49" s="11" t="s">
        <v>135</v>
      </c>
      <c r="N49" s="11" t="s">
        <v>2178</v>
      </c>
      <c r="O49" s="11" t="s">
        <v>672</v>
      </c>
      <c r="P49" s="11" t="s">
        <v>276</v>
      </c>
      <c r="Q49" s="11" t="s">
        <v>598</v>
      </c>
      <c r="R49" s="11" t="s">
        <v>599</v>
      </c>
      <c r="S49" s="11" t="s">
        <v>600</v>
      </c>
      <c r="T49" s="11" t="s">
        <v>109</v>
      </c>
      <c r="U49" s="11" t="s">
        <v>203</v>
      </c>
      <c r="V49" s="12" t="s">
        <v>111</v>
      </c>
    </row>
    <row r="50" ht="28" spans="1:22">
      <c r="A50" s="7" t="s">
        <v>2179</v>
      </c>
      <c r="B50" s="8" t="s">
        <v>810</v>
      </c>
      <c r="C50" s="8" t="s">
        <v>2180</v>
      </c>
      <c r="D50" s="8" t="s">
        <v>2181</v>
      </c>
      <c r="E50" s="8" t="s">
        <v>2182</v>
      </c>
      <c r="F50" s="8" t="s">
        <v>809</v>
      </c>
      <c r="G50" s="8" t="s">
        <v>2057</v>
      </c>
      <c r="H50" s="8" t="s">
        <v>1902</v>
      </c>
      <c r="I50" s="8" t="s">
        <v>442</v>
      </c>
      <c r="J50" s="8" t="s">
        <v>2024</v>
      </c>
      <c r="K50" s="8" t="s">
        <v>658</v>
      </c>
      <c r="L50" s="8" t="s">
        <v>2183</v>
      </c>
      <c r="M50" s="8" t="s">
        <v>135</v>
      </c>
      <c r="N50" s="8" t="s">
        <v>2184</v>
      </c>
      <c r="O50" s="8" t="s">
        <v>606</v>
      </c>
      <c r="P50" s="8" t="s">
        <v>276</v>
      </c>
      <c r="Q50" s="8" t="s">
        <v>598</v>
      </c>
      <c r="R50" s="8" t="s">
        <v>599</v>
      </c>
      <c r="S50" s="8" t="s">
        <v>600</v>
      </c>
      <c r="T50" s="8" t="s">
        <v>109</v>
      </c>
      <c r="U50" s="8" t="s">
        <v>203</v>
      </c>
      <c r="V50" s="9" t="s">
        <v>111</v>
      </c>
    </row>
    <row r="51" ht="28" spans="1:22">
      <c r="A51" s="10" t="s">
        <v>2185</v>
      </c>
      <c r="B51" s="11" t="s">
        <v>2186</v>
      </c>
      <c r="C51" s="11" t="s">
        <v>1343</v>
      </c>
      <c r="D51" s="11" t="s">
        <v>2187</v>
      </c>
      <c r="E51" s="11" t="s">
        <v>2188</v>
      </c>
      <c r="F51" s="11" t="s">
        <v>2189</v>
      </c>
      <c r="G51" s="11" t="s">
        <v>2057</v>
      </c>
      <c r="H51" s="11" t="s">
        <v>310</v>
      </c>
      <c r="I51" s="11" t="s">
        <v>442</v>
      </c>
      <c r="J51" s="11" t="s">
        <v>2119</v>
      </c>
      <c r="K51" s="11" t="s">
        <v>2190</v>
      </c>
      <c r="L51" s="11" t="s">
        <v>2191</v>
      </c>
      <c r="M51" s="11" t="s">
        <v>100</v>
      </c>
      <c r="N51" s="11" t="s">
        <v>2192</v>
      </c>
      <c r="O51" s="11" t="s">
        <v>2123</v>
      </c>
      <c r="P51" s="11" t="s">
        <v>276</v>
      </c>
      <c r="Q51" s="11" t="s">
        <v>598</v>
      </c>
      <c r="R51" s="11" t="s">
        <v>599</v>
      </c>
      <c r="S51" s="11" t="s">
        <v>600</v>
      </c>
      <c r="T51" s="11" t="s">
        <v>109</v>
      </c>
      <c r="U51" s="11" t="s">
        <v>203</v>
      </c>
      <c r="V51" s="12" t="s">
        <v>111</v>
      </c>
    </row>
    <row r="52" ht="28" spans="1:22">
      <c r="A52" s="7" t="s">
        <v>2193</v>
      </c>
      <c r="B52" s="8" t="s">
        <v>2194</v>
      </c>
      <c r="C52" s="8" t="s">
        <v>1359</v>
      </c>
      <c r="D52" s="8" t="s">
        <v>2195</v>
      </c>
      <c r="E52" s="8" t="s">
        <v>2012</v>
      </c>
      <c r="F52" s="8" t="s">
        <v>2196</v>
      </c>
      <c r="G52" s="8" t="s">
        <v>2197</v>
      </c>
      <c r="H52" s="8" t="s">
        <v>310</v>
      </c>
      <c r="I52" s="8" t="s">
        <v>442</v>
      </c>
      <c r="J52" s="8" t="s">
        <v>2024</v>
      </c>
      <c r="K52" s="8" t="s">
        <v>606</v>
      </c>
      <c r="L52" s="8" t="s">
        <v>2198</v>
      </c>
      <c r="M52" s="8" t="s">
        <v>135</v>
      </c>
      <c r="N52" s="8" t="s">
        <v>2199</v>
      </c>
      <c r="O52" s="8" t="s">
        <v>672</v>
      </c>
      <c r="P52" s="8" t="s">
        <v>276</v>
      </c>
      <c r="Q52" s="8" t="s">
        <v>598</v>
      </c>
      <c r="R52" s="8" t="s">
        <v>599</v>
      </c>
      <c r="S52" s="8" t="s">
        <v>600</v>
      </c>
      <c r="T52" s="8" t="s">
        <v>109</v>
      </c>
      <c r="U52" s="8" t="s">
        <v>203</v>
      </c>
      <c r="V52" s="9" t="s">
        <v>111</v>
      </c>
    </row>
    <row r="53" ht="28" spans="1:22">
      <c r="A53" s="10" t="s">
        <v>2200</v>
      </c>
      <c r="B53" s="11" t="s">
        <v>2201</v>
      </c>
      <c r="C53" s="11" t="s">
        <v>1938</v>
      </c>
      <c r="D53" s="11" t="s">
        <v>2202</v>
      </c>
      <c r="E53" s="11" t="s">
        <v>2111</v>
      </c>
      <c r="F53" s="11" t="s">
        <v>2203</v>
      </c>
      <c r="G53" s="11" t="s">
        <v>2057</v>
      </c>
      <c r="H53" s="11" t="s">
        <v>2204</v>
      </c>
      <c r="I53" s="11" t="s">
        <v>442</v>
      </c>
      <c r="J53" s="11" t="s">
        <v>2024</v>
      </c>
      <c r="K53" s="11" t="s">
        <v>2205</v>
      </c>
      <c r="L53" s="11" t="s">
        <v>2206</v>
      </c>
      <c r="M53" s="11" t="s">
        <v>100</v>
      </c>
      <c r="N53" s="11" t="s">
        <v>2207</v>
      </c>
      <c r="O53" s="11" t="s">
        <v>444</v>
      </c>
      <c r="P53" s="11" t="s">
        <v>276</v>
      </c>
      <c r="Q53" s="11" t="s">
        <v>598</v>
      </c>
      <c r="R53" s="11" t="s">
        <v>599</v>
      </c>
      <c r="S53" s="11" t="s">
        <v>600</v>
      </c>
      <c r="T53" s="11" t="s">
        <v>109</v>
      </c>
      <c r="U53" s="11" t="s">
        <v>203</v>
      </c>
      <c r="V53" s="12" t="s">
        <v>111</v>
      </c>
    </row>
    <row r="54" ht="28" spans="1:22">
      <c r="A54" s="7" t="s">
        <v>2208</v>
      </c>
      <c r="B54" s="8" t="s">
        <v>2209</v>
      </c>
      <c r="C54" s="8" t="s">
        <v>2062</v>
      </c>
      <c r="D54" s="8" t="s">
        <v>2210</v>
      </c>
      <c r="E54" s="8" t="s">
        <v>2211</v>
      </c>
      <c r="F54" s="8" t="s">
        <v>2212</v>
      </c>
      <c r="G54" s="8" t="s">
        <v>2197</v>
      </c>
      <c r="H54" s="8" t="s">
        <v>1902</v>
      </c>
      <c r="I54" s="8" t="s">
        <v>442</v>
      </c>
      <c r="J54" s="8" t="s">
        <v>1993</v>
      </c>
      <c r="K54" s="8" t="s">
        <v>666</v>
      </c>
      <c r="L54" s="8" t="s">
        <v>2213</v>
      </c>
      <c r="M54" s="8" t="s">
        <v>135</v>
      </c>
      <c r="N54" s="8" t="s">
        <v>2214</v>
      </c>
      <c r="O54" s="8" t="s">
        <v>672</v>
      </c>
      <c r="P54" s="8" t="s">
        <v>276</v>
      </c>
      <c r="Q54" s="8" t="s">
        <v>598</v>
      </c>
      <c r="R54" s="8" t="s">
        <v>599</v>
      </c>
      <c r="S54" s="8" t="s">
        <v>600</v>
      </c>
      <c r="T54" s="8" t="s">
        <v>109</v>
      </c>
      <c r="U54" s="8" t="s">
        <v>203</v>
      </c>
      <c r="V54" s="9" t="s">
        <v>111</v>
      </c>
    </row>
    <row r="55" ht="82" spans="1:22">
      <c r="A55" s="10" t="s">
        <v>2215</v>
      </c>
      <c r="B55" s="11" t="s">
        <v>2216</v>
      </c>
      <c r="C55" s="11" t="s">
        <v>1490</v>
      </c>
      <c r="D55" s="11" t="s">
        <v>2217</v>
      </c>
      <c r="E55" s="11" t="s">
        <v>2218</v>
      </c>
      <c r="F55" s="11" t="s">
        <v>2219</v>
      </c>
      <c r="G55" s="11" t="s">
        <v>2220</v>
      </c>
      <c r="H55" s="11" t="s">
        <v>2014</v>
      </c>
      <c r="I55" s="11" t="s">
        <v>442</v>
      </c>
      <c r="J55" s="11" t="s">
        <v>2221</v>
      </c>
      <c r="K55" s="11" t="s">
        <v>2222</v>
      </c>
      <c r="L55" s="11" t="s">
        <v>2223</v>
      </c>
      <c r="M55" s="11" t="s">
        <v>100</v>
      </c>
      <c r="N55" s="11" t="s">
        <v>2224</v>
      </c>
      <c r="O55" s="11" t="s">
        <v>2225</v>
      </c>
      <c r="P55" s="11" t="s">
        <v>276</v>
      </c>
      <c r="Q55" s="11" t="s">
        <v>2226</v>
      </c>
      <c r="R55" s="11" t="s">
        <v>2227</v>
      </c>
      <c r="S55" s="11" t="s">
        <v>2228</v>
      </c>
      <c r="T55" s="11" t="s">
        <v>109</v>
      </c>
      <c r="U55" s="11" t="s">
        <v>203</v>
      </c>
      <c r="V55" s="12" t="s">
        <v>111</v>
      </c>
    </row>
    <row r="56" ht="55" spans="1:22">
      <c r="A56" s="7" t="s">
        <v>2229</v>
      </c>
      <c r="B56" s="8" t="s">
        <v>2230</v>
      </c>
      <c r="C56" s="8" t="s">
        <v>1490</v>
      </c>
      <c r="D56" s="8" t="s">
        <v>2217</v>
      </c>
      <c r="E56" s="8" t="s">
        <v>2218</v>
      </c>
      <c r="F56" s="8" t="s">
        <v>2231</v>
      </c>
      <c r="G56" s="8" t="s">
        <v>2232</v>
      </c>
      <c r="H56" s="8" t="s">
        <v>310</v>
      </c>
      <c r="I56" s="8" t="s">
        <v>442</v>
      </c>
      <c r="J56" s="8" t="s">
        <v>2221</v>
      </c>
      <c r="K56" s="8" t="s">
        <v>2120</v>
      </c>
      <c r="L56" s="8" t="s">
        <v>2233</v>
      </c>
      <c r="M56" s="8" t="s">
        <v>135</v>
      </c>
      <c r="N56" s="8" t="s">
        <v>2234</v>
      </c>
      <c r="O56" s="8" t="s">
        <v>2235</v>
      </c>
      <c r="P56" s="8" t="s">
        <v>276</v>
      </c>
      <c r="Q56" s="8" t="s">
        <v>2236</v>
      </c>
      <c r="R56" s="8" t="s">
        <v>2237</v>
      </c>
      <c r="S56" s="8" t="s">
        <v>2238</v>
      </c>
      <c r="T56" s="8" t="s">
        <v>109</v>
      </c>
      <c r="U56" s="8" t="s">
        <v>203</v>
      </c>
      <c r="V56" s="9" t="s">
        <v>111</v>
      </c>
    </row>
    <row r="57" ht="55" spans="1:22">
      <c r="A57" s="10" t="s">
        <v>2239</v>
      </c>
      <c r="B57" s="11" t="s">
        <v>2240</v>
      </c>
      <c r="C57" s="11" t="s">
        <v>1490</v>
      </c>
      <c r="D57" s="11" t="s">
        <v>2217</v>
      </c>
      <c r="E57" s="11" t="s">
        <v>2218</v>
      </c>
      <c r="F57" s="11" t="s">
        <v>2241</v>
      </c>
      <c r="G57" s="11" t="s">
        <v>2232</v>
      </c>
      <c r="H57" s="11" t="s">
        <v>310</v>
      </c>
      <c r="I57" s="11" t="s">
        <v>442</v>
      </c>
      <c r="J57" s="11" t="s">
        <v>2221</v>
      </c>
      <c r="K57" s="11" t="s">
        <v>2120</v>
      </c>
      <c r="L57" s="11" t="s">
        <v>2233</v>
      </c>
      <c r="M57" s="11" t="s">
        <v>135</v>
      </c>
      <c r="N57" s="11" t="s">
        <v>2242</v>
      </c>
      <c r="O57" s="11" t="s">
        <v>2235</v>
      </c>
      <c r="P57" s="11" t="s">
        <v>276</v>
      </c>
      <c r="Q57" s="11" t="s">
        <v>2236</v>
      </c>
      <c r="R57" s="11" t="s">
        <v>2237</v>
      </c>
      <c r="S57" s="11" t="s">
        <v>2238</v>
      </c>
      <c r="T57" s="11" t="s">
        <v>109</v>
      </c>
      <c r="U57" s="11" t="s">
        <v>203</v>
      </c>
      <c r="V57" s="12" t="s">
        <v>111</v>
      </c>
    </row>
    <row r="58" ht="55" spans="1:22">
      <c r="A58" s="7" t="s">
        <v>2243</v>
      </c>
      <c r="B58" s="8" t="s">
        <v>2244</v>
      </c>
      <c r="C58" s="8" t="s">
        <v>1490</v>
      </c>
      <c r="D58" s="8" t="s">
        <v>2217</v>
      </c>
      <c r="E58" s="8" t="s">
        <v>2218</v>
      </c>
      <c r="F58" s="8" t="s">
        <v>2245</v>
      </c>
      <c r="G58" s="8" t="s">
        <v>2246</v>
      </c>
      <c r="H58" s="8" t="s">
        <v>310</v>
      </c>
      <c r="I58" s="8" t="s">
        <v>442</v>
      </c>
      <c r="J58" s="8" t="s">
        <v>2221</v>
      </c>
      <c r="K58" s="8" t="s">
        <v>2247</v>
      </c>
      <c r="L58" s="8" t="s">
        <v>2248</v>
      </c>
      <c r="M58" s="8" t="s">
        <v>100</v>
      </c>
      <c r="N58" s="8" t="s">
        <v>2249</v>
      </c>
      <c r="O58" s="8" t="s">
        <v>2225</v>
      </c>
      <c r="P58" s="8" t="s">
        <v>276</v>
      </c>
      <c r="Q58" s="8" t="s">
        <v>2250</v>
      </c>
      <c r="R58" s="8" t="s">
        <v>2251</v>
      </c>
      <c r="S58" s="8" t="s">
        <v>2252</v>
      </c>
      <c r="T58" s="8" t="s">
        <v>109</v>
      </c>
      <c r="U58" s="8" t="s">
        <v>203</v>
      </c>
      <c r="V58" s="9" t="s">
        <v>111</v>
      </c>
    </row>
    <row r="59" ht="55" spans="1:22">
      <c r="A59" s="10" t="s">
        <v>2253</v>
      </c>
      <c r="B59" s="11" t="s">
        <v>2254</v>
      </c>
      <c r="C59" s="11" t="s">
        <v>1490</v>
      </c>
      <c r="D59" s="11" t="s">
        <v>2255</v>
      </c>
      <c r="E59" s="11" t="s">
        <v>2256</v>
      </c>
      <c r="F59" s="11" t="s">
        <v>2257</v>
      </c>
      <c r="G59" s="11" t="s">
        <v>2258</v>
      </c>
      <c r="H59" s="11" t="s">
        <v>2014</v>
      </c>
      <c r="I59" s="11" t="s">
        <v>442</v>
      </c>
      <c r="J59" s="11" t="s">
        <v>2221</v>
      </c>
      <c r="K59" s="11" t="s">
        <v>2259</v>
      </c>
      <c r="L59" s="11" t="s">
        <v>2260</v>
      </c>
      <c r="M59" s="11" t="s">
        <v>100</v>
      </c>
      <c r="N59" s="11" t="s">
        <v>2261</v>
      </c>
      <c r="O59" s="11" t="s">
        <v>2225</v>
      </c>
      <c r="P59" s="11" t="s">
        <v>276</v>
      </c>
      <c r="Q59" s="11" t="s">
        <v>2250</v>
      </c>
      <c r="R59" s="11" t="s">
        <v>2251</v>
      </c>
      <c r="S59" s="11" t="s">
        <v>2252</v>
      </c>
      <c r="T59" s="11" t="s">
        <v>109</v>
      </c>
      <c r="U59" s="11" t="s">
        <v>203</v>
      </c>
      <c r="V59" s="12" t="s">
        <v>111</v>
      </c>
    </row>
    <row r="60" ht="28" spans="1:22">
      <c r="A60" s="7" t="s">
        <v>2262</v>
      </c>
      <c r="B60" s="8" t="s">
        <v>2263</v>
      </c>
      <c r="C60" s="8" t="s">
        <v>1490</v>
      </c>
      <c r="D60" s="8" t="s">
        <v>2264</v>
      </c>
      <c r="E60" s="8" t="s">
        <v>2265</v>
      </c>
      <c r="F60" s="8" t="s">
        <v>2266</v>
      </c>
      <c r="G60" s="8" t="s">
        <v>2267</v>
      </c>
      <c r="H60" s="8" t="s">
        <v>1902</v>
      </c>
      <c r="I60" s="8" t="s">
        <v>442</v>
      </c>
      <c r="J60" s="8" t="s">
        <v>2268</v>
      </c>
      <c r="K60" s="8" t="s">
        <v>2269</v>
      </c>
      <c r="L60" s="8" t="s">
        <v>2270</v>
      </c>
      <c r="M60" s="8" t="s">
        <v>101</v>
      </c>
      <c r="N60" s="8" t="s">
        <v>2271</v>
      </c>
      <c r="O60" s="8" t="s">
        <v>2272</v>
      </c>
      <c r="P60" s="8" t="s">
        <v>276</v>
      </c>
      <c r="Q60" s="8" t="s">
        <v>982</v>
      </c>
      <c r="R60" s="8" t="s">
        <v>983</v>
      </c>
      <c r="S60" s="8" t="s">
        <v>984</v>
      </c>
      <c r="T60" s="8" t="s">
        <v>109</v>
      </c>
      <c r="U60" s="8" t="s">
        <v>203</v>
      </c>
      <c r="V60" s="9" t="s">
        <v>111</v>
      </c>
    </row>
    <row r="61" ht="28" spans="1:22">
      <c r="A61" s="10" t="s">
        <v>2273</v>
      </c>
      <c r="B61" s="11" t="s">
        <v>2274</v>
      </c>
      <c r="C61" s="11" t="s">
        <v>1490</v>
      </c>
      <c r="D61" s="11" t="s">
        <v>2275</v>
      </c>
      <c r="E61" s="11" t="s">
        <v>2276</v>
      </c>
      <c r="F61" s="11" t="s">
        <v>2277</v>
      </c>
      <c r="G61" s="11" t="s">
        <v>2278</v>
      </c>
      <c r="H61" s="11" t="s">
        <v>1902</v>
      </c>
      <c r="I61" s="11" t="s">
        <v>442</v>
      </c>
      <c r="J61" s="11" t="s">
        <v>2279</v>
      </c>
      <c r="K61" s="11" t="s">
        <v>2280</v>
      </c>
      <c r="L61" s="11" t="s">
        <v>2281</v>
      </c>
      <c r="M61" s="11" t="s">
        <v>101</v>
      </c>
      <c r="N61" s="11" t="s">
        <v>2282</v>
      </c>
      <c r="O61" s="11" t="s">
        <v>2272</v>
      </c>
      <c r="P61" s="11" t="s">
        <v>276</v>
      </c>
      <c r="Q61" s="11" t="s">
        <v>982</v>
      </c>
      <c r="R61" s="11" t="s">
        <v>983</v>
      </c>
      <c r="S61" s="11" t="s">
        <v>984</v>
      </c>
      <c r="T61" s="11" t="s">
        <v>109</v>
      </c>
      <c r="U61" s="11" t="s">
        <v>203</v>
      </c>
      <c r="V61" s="12" t="s">
        <v>111</v>
      </c>
    </row>
    <row r="62" ht="28" spans="1:22">
      <c r="A62" s="7" t="s">
        <v>2283</v>
      </c>
      <c r="B62" s="8" t="s">
        <v>2284</v>
      </c>
      <c r="C62" s="8" t="s">
        <v>1490</v>
      </c>
      <c r="D62" s="8" t="s">
        <v>2285</v>
      </c>
      <c r="E62" s="8" t="s">
        <v>2286</v>
      </c>
      <c r="F62" s="8" t="s">
        <v>2287</v>
      </c>
      <c r="G62" s="8" t="s">
        <v>2288</v>
      </c>
      <c r="H62" s="8" t="s">
        <v>2014</v>
      </c>
      <c r="I62" s="8" t="s">
        <v>442</v>
      </c>
      <c r="J62" s="8" t="s">
        <v>2289</v>
      </c>
      <c r="K62" s="8" t="s">
        <v>1936</v>
      </c>
      <c r="L62" s="8" t="s">
        <v>2290</v>
      </c>
      <c r="M62" s="8" t="s">
        <v>100</v>
      </c>
      <c r="N62" s="8" t="s">
        <v>2291</v>
      </c>
      <c r="O62" s="8" t="s">
        <v>2292</v>
      </c>
      <c r="P62" s="8" t="s">
        <v>276</v>
      </c>
      <c r="Q62" s="8" t="s">
        <v>982</v>
      </c>
      <c r="R62" s="8" t="s">
        <v>983</v>
      </c>
      <c r="S62" s="8" t="s">
        <v>984</v>
      </c>
      <c r="T62" s="8" t="s">
        <v>109</v>
      </c>
      <c r="U62" s="8" t="s">
        <v>203</v>
      </c>
      <c r="V62" s="9" t="s">
        <v>111</v>
      </c>
    </row>
    <row r="63" ht="28" spans="1:22">
      <c r="A63" s="10" t="s">
        <v>2293</v>
      </c>
      <c r="B63" s="11" t="s">
        <v>2294</v>
      </c>
      <c r="C63" s="11" t="s">
        <v>1490</v>
      </c>
      <c r="D63" s="11" t="s">
        <v>2295</v>
      </c>
      <c r="E63" s="11" t="s">
        <v>2286</v>
      </c>
      <c r="F63" s="11" t="s">
        <v>2296</v>
      </c>
      <c r="G63" s="11" t="s">
        <v>2297</v>
      </c>
      <c r="H63" s="11" t="s">
        <v>1902</v>
      </c>
      <c r="I63" s="11" t="s">
        <v>442</v>
      </c>
      <c r="J63" s="11" t="s">
        <v>2289</v>
      </c>
      <c r="K63" s="11" t="s">
        <v>2298</v>
      </c>
      <c r="L63" s="11" t="s">
        <v>2299</v>
      </c>
      <c r="M63" s="11" t="s">
        <v>100</v>
      </c>
      <c r="N63" s="11" t="s">
        <v>2300</v>
      </c>
      <c r="O63" s="11" t="s">
        <v>2292</v>
      </c>
      <c r="P63" s="11" t="s">
        <v>276</v>
      </c>
      <c r="Q63" s="11" t="s">
        <v>982</v>
      </c>
      <c r="R63" s="11" t="s">
        <v>983</v>
      </c>
      <c r="S63" s="11" t="s">
        <v>984</v>
      </c>
      <c r="T63" s="11" t="s">
        <v>109</v>
      </c>
      <c r="U63" s="11" t="s">
        <v>203</v>
      </c>
      <c r="V63" s="12" t="s">
        <v>111</v>
      </c>
    </row>
    <row r="64" ht="28" spans="1:22">
      <c r="A64" s="7" t="s">
        <v>2301</v>
      </c>
      <c r="B64" s="8" t="s">
        <v>2302</v>
      </c>
      <c r="C64" s="8" t="s">
        <v>1490</v>
      </c>
      <c r="D64" s="8" t="s">
        <v>2303</v>
      </c>
      <c r="E64" s="8" t="s">
        <v>2286</v>
      </c>
      <c r="F64" s="8" t="s">
        <v>2304</v>
      </c>
      <c r="G64" s="8" t="s">
        <v>2297</v>
      </c>
      <c r="H64" s="8" t="s">
        <v>2014</v>
      </c>
      <c r="I64" s="8" t="s">
        <v>442</v>
      </c>
      <c r="J64" s="8" t="s">
        <v>2289</v>
      </c>
      <c r="K64" s="8" t="s">
        <v>1936</v>
      </c>
      <c r="L64" s="8" t="s">
        <v>2305</v>
      </c>
      <c r="M64" s="8" t="s">
        <v>100</v>
      </c>
      <c r="N64" s="8" t="s">
        <v>2306</v>
      </c>
      <c r="O64" s="8" t="s">
        <v>2292</v>
      </c>
      <c r="P64" s="8" t="s">
        <v>276</v>
      </c>
      <c r="Q64" s="8" t="s">
        <v>982</v>
      </c>
      <c r="R64" s="8" t="s">
        <v>983</v>
      </c>
      <c r="S64" s="8" t="s">
        <v>984</v>
      </c>
      <c r="T64" s="8" t="s">
        <v>109</v>
      </c>
      <c r="U64" s="8" t="s">
        <v>203</v>
      </c>
      <c r="V64" s="9" t="s">
        <v>111</v>
      </c>
    </row>
    <row r="65" ht="28" spans="1:22">
      <c r="A65" s="10" t="s">
        <v>2307</v>
      </c>
      <c r="B65" s="11" t="s">
        <v>2308</v>
      </c>
      <c r="C65" s="11" t="s">
        <v>1490</v>
      </c>
      <c r="D65" s="11" t="s">
        <v>2309</v>
      </c>
      <c r="E65" s="11" t="s">
        <v>2310</v>
      </c>
      <c r="F65" s="11" t="s">
        <v>2311</v>
      </c>
      <c r="G65" s="11" t="s">
        <v>2288</v>
      </c>
      <c r="H65" s="11" t="s">
        <v>2312</v>
      </c>
      <c r="I65" s="11" t="s">
        <v>2313</v>
      </c>
      <c r="J65" s="11" t="s">
        <v>2314</v>
      </c>
      <c r="K65" s="11" t="s">
        <v>778</v>
      </c>
      <c r="L65" s="11" t="s">
        <v>2315</v>
      </c>
      <c r="M65" s="11" t="s">
        <v>135</v>
      </c>
      <c r="N65" s="11" t="s">
        <v>2316</v>
      </c>
      <c r="O65" s="11" t="s">
        <v>778</v>
      </c>
      <c r="P65" s="11" t="s">
        <v>276</v>
      </c>
      <c r="Q65" s="11" t="s">
        <v>982</v>
      </c>
      <c r="R65" s="11" t="s">
        <v>983</v>
      </c>
      <c r="S65" s="11" t="s">
        <v>984</v>
      </c>
      <c r="T65" s="11" t="s">
        <v>109</v>
      </c>
      <c r="U65" s="11" t="s">
        <v>110</v>
      </c>
      <c r="V65" s="12" t="s">
        <v>111</v>
      </c>
    </row>
    <row r="66" ht="55" spans="1:22">
      <c r="A66" s="7" t="s">
        <v>2317</v>
      </c>
      <c r="B66" s="8" t="s">
        <v>2318</v>
      </c>
      <c r="C66" s="8" t="s">
        <v>1490</v>
      </c>
      <c r="D66" s="8" t="s">
        <v>2319</v>
      </c>
      <c r="E66" s="8" t="s">
        <v>2320</v>
      </c>
      <c r="F66" s="8" t="s">
        <v>2321</v>
      </c>
      <c r="G66" s="8" t="s">
        <v>2322</v>
      </c>
      <c r="H66" s="8" t="s">
        <v>2158</v>
      </c>
      <c r="I66" s="8" t="s">
        <v>442</v>
      </c>
      <c r="J66" s="8" t="s">
        <v>2289</v>
      </c>
      <c r="K66" s="8" t="s">
        <v>2298</v>
      </c>
      <c r="L66" s="8" t="s">
        <v>2323</v>
      </c>
      <c r="M66" s="8" t="s">
        <v>100</v>
      </c>
      <c r="N66" s="8" t="s">
        <v>2324</v>
      </c>
      <c r="O66" s="8" t="s">
        <v>2292</v>
      </c>
      <c r="P66" s="8" t="s">
        <v>276</v>
      </c>
      <c r="Q66" s="8" t="s">
        <v>2325</v>
      </c>
      <c r="R66" s="8" t="s">
        <v>2326</v>
      </c>
      <c r="S66" s="8" t="s">
        <v>2327</v>
      </c>
      <c r="T66" s="8" t="s">
        <v>109</v>
      </c>
      <c r="U66" s="8" t="s">
        <v>203</v>
      </c>
      <c r="V66" s="9" t="s">
        <v>111</v>
      </c>
    </row>
    <row r="67" ht="28" spans="1:22">
      <c r="A67" s="10" t="s">
        <v>2328</v>
      </c>
      <c r="B67" s="11" t="s">
        <v>2329</v>
      </c>
      <c r="C67" s="11" t="s">
        <v>1490</v>
      </c>
      <c r="D67" s="11" t="s">
        <v>2330</v>
      </c>
      <c r="E67" s="11" t="s">
        <v>2331</v>
      </c>
      <c r="F67" s="11" t="s">
        <v>2330</v>
      </c>
      <c r="G67" s="11" t="s">
        <v>2332</v>
      </c>
      <c r="H67" s="11" t="s">
        <v>310</v>
      </c>
      <c r="I67" s="11" t="s">
        <v>442</v>
      </c>
      <c r="J67" s="11" t="s">
        <v>2333</v>
      </c>
      <c r="K67" s="11" t="s">
        <v>2205</v>
      </c>
      <c r="L67" s="11" t="s">
        <v>2334</v>
      </c>
      <c r="M67" s="11" t="s">
        <v>100</v>
      </c>
      <c r="N67" s="11" t="s">
        <v>2335</v>
      </c>
      <c r="O67" s="11" t="s">
        <v>2336</v>
      </c>
      <c r="P67" s="11" t="s">
        <v>276</v>
      </c>
      <c r="Q67" s="11" t="s">
        <v>995</v>
      </c>
      <c r="R67" s="11" t="s">
        <v>996</v>
      </c>
      <c r="S67" s="11" t="s">
        <v>997</v>
      </c>
      <c r="T67" s="11" t="s">
        <v>109</v>
      </c>
      <c r="U67" s="11" t="s">
        <v>203</v>
      </c>
      <c r="V67" s="12" t="s">
        <v>111</v>
      </c>
    </row>
    <row r="68" ht="28" spans="1:22">
      <c r="A68" s="7" t="s">
        <v>2337</v>
      </c>
      <c r="B68" s="8" t="s">
        <v>2338</v>
      </c>
      <c r="C68" s="8" t="s">
        <v>1490</v>
      </c>
      <c r="D68" s="8" t="s">
        <v>2339</v>
      </c>
      <c r="E68" s="8" t="s">
        <v>2039</v>
      </c>
      <c r="F68" s="8" t="s">
        <v>2340</v>
      </c>
      <c r="G68" s="8" t="s">
        <v>2341</v>
      </c>
      <c r="H68" s="8" t="s">
        <v>2014</v>
      </c>
      <c r="I68" s="8" t="s">
        <v>442</v>
      </c>
      <c r="J68" s="8" t="s">
        <v>2342</v>
      </c>
      <c r="K68" s="8" t="s">
        <v>2343</v>
      </c>
      <c r="L68" s="8" t="s">
        <v>2344</v>
      </c>
      <c r="M68" s="8" t="s">
        <v>101</v>
      </c>
      <c r="N68" s="8" t="s">
        <v>2345</v>
      </c>
      <c r="O68" s="8" t="s">
        <v>2346</v>
      </c>
      <c r="P68" s="8" t="s">
        <v>276</v>
      </c>
      <c r="Q68" s="8" t="s">
        <v>598</v>
      </c>
      <c r="R68" s="8" t="s">
        <v>599</v>
      </c>
      <c r="S68" s="8" t="s">
        <v>600</v>
      </c>
      <c r="T68" s="8" t="s">
        <v>109</v>
      </c>
      <c r="U68" s="8" t="s">
        <v>203</v>
      </c>
      <c r="V68" s="9" t="s">
        <v>111</v>
      </c>
    </row>
    <row r="69" ht="28" spans="1:22">
      <c r="A69" s="10" t="s">
        <v>2347</v>
      </c>
      <c r="B69" s="11" t="s">
        <v>2348</v>
      </c>
      <c r="C69" s="11" t="s">
        <v>1476</v>
      </c>
      <c r="D69" s="11" t="s">
        <v>2349</v>
      </c>
      <c r="E69" s="11" t="s">
        <v>2350</v>
      </c>
      <c r="F69" s="11" t="s">
        <v>2351</v>
      </c>
      <c r="G69" s="11" t="s">
        <v>2352</v>
      </c>
      <c r="H69" s="11" t="s">
        <v>2014</v>
      </c>
      <c r="I69" s="11" t="s">
        <v>442</v>
      </c>
      <c r="J69" s="11" t="s">
        <v>2024</v>
      </c>
      <c r="K69" s="11" t="s">
        <v>666</v>
      </c>
      <c r="L69" s="11" t="s">
        <v>2353</v>
      </c>
      <c r="M69" s="11" t="s">
        <v>100</v>
      </c>
      <c r="N69" s="11" t="s">
        <v>2354</v>
      </c>
      <c r="O69" s="11" t="s">
        <v>2355</v>
      </c>
      <c r="P69" s="11" t="s">
        <v>276</v>
      </c>
      <c r="Q69" s="11" t="s">
        <v>598</v>
      </c>
      <c r="R69" s="11" t="s">
        <v>599</v>
      </c>
      <c r="S69" s="11" t="s">
        <v>600</v>
      </c>
      <c r="T69" s="11" t="s">
        <v>109</v>
      </c>
      <c r="U69" s="11" t="s">
        <v>203</v>
      </c>
      <c r="V69" s="12" t="s">
        <v>111</v>
      </c>
    </row>
    <row r="70" ht="41" spans="1:22">
      <c r="A70" s="16" t="s">
        <v>2356</v>
      </c>
      <c r="B70" s="17" t="s">
        <v>2357</v>
      </c>
      <c r="C70" s="17" t="s">
        <v>1312</v>
      </c>
      <c r="D70" s="17" t="s">
        <v>2358</v>
      </c>
      <c r="E70" s="17" t="s">
        <v>2286</v>
      </c>
      <c r="F70" s="17" t="s">
        <v>2359</v>
      </c>
      <c r="G70" s="17" t="s">
        <v>2360</v>
      </c>
      <c r="H70" s="17" t="s">
        <v>1902</v>
      </c>
      <c r="I70" s="17" t="s">
        <v>442</v>
      </c>
      <c r="J70" s="17" t="s">
        <v>2289</v>
      </c>
      <c r="K70" s="17" t="s">
        <v>2361</v>
      </c>
      <c r="L70" s="17" t="s">
        <v>2362</v>
      </c>
      <c r="M70" s="17" t="s">
        <v>101</v>
      </c>
      <c r="N70" s="17" t="s">
        <v>2363</v>
      </c>
      <c r="O70" s="17" t="s">
        <v>2364</v>
      </c>
      <c r="P70" s="17" t="s">
        <v>276</v>
      </c>
      <c r="Q70" s="17" t="s">
        <v>2365</v>
      </c>
      <c r="R70" s="17" t="s">
        <v>2366</v>
      </c>
      <c r="S70" s="17" t="s">
        <v>2367</v>
      </c>
      <c r="T70" s="17" t="s">
        <v>121</v>
      </c>
      <c r="U70" s="17" t="s">
        <v>203</v>
      </c>
      <c r="V70" s="18" t="s">
        <v>111</v>
      </c>
    </row>
  </sheetData>
  <mergeCells count="2">
    <mergeCell ref="A1:V1"/>
    <mergeCell ref="A2:V2"/>
  </mergeCell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8"/>
  <sheetViews>
    <sheetView showGridLines="0" topLeftCell="A47" workbookViewId="0">
      <selection activeCell="A1" sqref="A1:U1"/>
    </sheetView>
  </sheetViews>
  <sheetFormatPr defaultColWidth="9" defaultRowHeight="16.8"/>
  <cols>
    <col min="1" max="1" width="9" customWidth="1"/>
    <col min="2" max="2" width="36" customWidth="1"/>
    <col min="3" max="3" width="15" customWidth="1"/>
    <col min="4" max="4" width="30" customWidth="1"/>
    <col min="5" max="5" width="15" customWidth="1"/>
    <col min="6" max="6" width="11" customWidth="1"/>
    <col min="7" max="8" width="42" customWidth="1"/>
    <col min="9" max="9" width="30" customWidth="1"/>
    <col min="10" max="10" width="25" customWidth="1"/>
    <col min="11" max="11" width="20" customWidth="1"/>
    <col min="12" max="12" width="30" customWidth="1"/>
    <col min="13" max="13" width="35" customWidth="1"/>
    <col min="14" max="14" width="16" customWidth="1"/>
    <col min="15" max="15" width="13" customWidth="1"/>
    <col min="16" max="16" width="12" customWidth="1"/>
    <col min="17" max="17" width="25" customWidth="1"/>
    <col min="18" max="18" width="44" customWidth="1"/>
    <col min="19" max="19" width="16" customWidth="1"/>
    <col min="20" max="20" width="10" customWidth="1"/>
    <col min="21" max="21" width="12" customWidth="1"/>
  </cols>
  <sheetData>
    <row r="1" ht="32" customHeight="1" spans="1:21">
      <c r="A1" s="1" t="s">
        <v>2368</v>
      </c>
      <c r="B1" s="1"/>
      <c r="C1" s="1"/>
      <c r="D1" s="1"/>
      <c r="E1" s="1"/>
      <c r="F1" s="1"/>
      <c r="G1" s="1"/>
      <c r="H1" s="1"/>
      <c r="I1" s="1"/>
      <c r="J1" s="1"/>
      <c r="K1" s="1"/>
      <c r="L1" s="1"/>
      <c r="M1" s="1"/>
      <c r="N1" s="1"/>
      <c r="O1" s="1"/>
      <c r="P1" s="1"/>
      <c r="Q1" s="1"/>
      <c r="R1" s="1"/>
      <c r="S1" s="1"/>
      <c r="T1" s="1"/>
      <c r="U1" s="1"/>
    </row>
    <row r="2" ht="34" customHeight="1" spans="1:21">
      <c r="A2" s="2" t="s">
        <v>2369</v>
      </c>
      <c r="B2" s="2"/>
      <c r="C2" s="2"/>
      <c r="D2" s="2"/>
      <c r="E2" s="2"/>
      <c r="F2" s="2"/>
      <c r="G2" s="2"/>
      <c r="H2" s="2"/>
      <c r="I2" s="2"/>
      <c r="J2" s="2"/>
      <c r="K2" s="2"/>
      <c r="L2" s="2"/>
      <c r="M2" s="2"/>
      <c r="N2" s="2"/>
      <c r="O2" s="2"/>
      <c r="P2" s="2"/>
      <c r="Q2" s="2"/>
      <c r="R2" s="2"/>
      <c r="S2" s="2"/>
      <c r="T2" s="2"/>
      <c r="U2" s="2"/>
    </row>
    <row r="4" ht="32" customHeight="1" spans="1:21">
      <c r="A4" s="3" t="s">
        <v>2370</v>
      </c>
      <c r="B4" s="3" t="s">
        <v>32</v>
      </c>
      <c r="C4" s="3" t="s">
        <v>2371</v>
      </c>
      <c r="D4" s="3" t="s">
        <v>2372</v>
      </c>
      <c r="E4" s="3" t="s">
        <v>2373</v>
      </c>
      <c r="F4" s="3" t="s">
        <v>2374</v>
      </c>
      <c r="G4" s="3" t="s">
        <v>1445</v>
      </c>
      <c r="H4" s="3" t="s">
        <v>2375</v>
      </c>
      <c r="I4" s="3" t="s">
        <v>1809</v>
      </c>
      <c r="J4" s="3" t="s">
        <v>2376</v>
      </c>
      <c r="K4" s="3" t="s">
        <v>2377</v>
      </c>
      <c r="L4" s="3" t="s">
        <v>2378</v>
      </c>
      <c r="M4" s="3" t="s">
        <v>2379</v>
      </c>
      <c r="N4" s="3" t="s">
        <v>2380</v>
      </c>
      <c r="O4" s="3" t="s">
        <v>88</v>
      </c>
      <c r="P4" s="3" t="s">
        <v>90</v>
      </c>
      <c r="Q4" s="3" t="s">
        <v>91</v>
      </c>
      <c r="R4" s="3" t="s">
        <v>372</v>
      </c>
      <c r="S4" s="3" t="s">
        <v>92</v>
      </c>
      <c r="T4" s="3" t="s">
        <v>93</v>
      </c>
      <c r="U4" s="3" t="s">
        <v>94</v>
      </c>
    </row>
    <row r="5" ht="55" spans="1:21">
      <c r="A5" s="4" t="s">
        <v>2381</v>
      </c>
      <c r="B5" s="5" t="s">
        <v>2382</v>
      </c>
      <c r="C5" s="5" t="s">
        <v>1490</v>
      </c>
      <c r="D5" s="5" t="s">
        <v>554</v>
      </c>
      <c r="E5" s="5" t="s">
        <v>2383</v>
      </c>
      <c r="F5" s="5" t="s">
        <v>2384</v>
      </c>
      <c r="G5" s="5" t="s">
        <v>2385</v>
      </c>
      <c r="H5" s="5" t="s">
        <v>2386</v>
      </c>
      <c r="I5" s="5" t="s">
        <v>2387</v>
      </c>
      <c r="J5" s="5" t="s">
        <v>2388</v>
      </c>
      <c r="K5" s="5" t="s">
        <v>2389</v>
      </c>
      <c r="L5" s="5" t="s">
        <v>2390</v>
      </c>
      <c r="M5" s="5" t="s">
        <v>2391</v>
      </c>
      <c r="N5" s="5" t="s">
        <v>2392</v>
      </c>
      <c r="O5" s="5" t="s">
        <v>105</v>
      </c>
      <c r="P5" s="5" t="s">
        <v>563</v>
      </c>
      <c r="Q5" s="5" t="s">
        <v>564</v>
      </c>
      <c r="R5" s="5" t="s">
        <v>565</v>
      </c>
      <c r="S5" s="5" t="s">
        <v>109</v>
      </c>
      <c r="T5" s="5" t="s">
        <v>203</v>
      </c>
      <c r="U5" s="6" t="s">
        <v>111</v>
      </c>
    </row>
    <row r="6" ht="109" spans="1:21">
      <c r="A6" s="7" t="s">
        <v>2393</v>
      </c>
      <c r="B6" s="8" t="s">
        <v>2394</v>
      </c>
      <c r="C6" s="8" t="s">
        <v>1490</v>
      </c>
      <c r="D6" s="8" t="s">
        <v>2395</v>
      </c>
      <c r="E6" s="8" t="s">
        <v>801</v>
      </c>
      <c r="F6" s="8" t="s">
        <v>2396</v>
      </c>
      <c r="G6" s="8" t="s">
        <v>2397</v>
      </c>
      <c r="H6" s="8" t="s">
        <v>2386</v>
      </c>
      <c r="I6" s="8" t="s">
        <v>2398</v>
      </c>
      <c r="J6" s="8" t="s">
        <v>2399</v>
      </c>
      <c r="K6" s="8" t="s">
        <v>2400</v>
      </c>
      <c r="L6" s="8" t="s">
        <v>2401</v>
      </c>
      <c r="M6" s="8" t="s">
        <v>2402</v>
      </c>
      <c r="N6" s="8" t="s">
        <v>2392</v>
      </c>
      <c r="O6" s="8" t="s">
        <v>105</v>
      </c>
      <c r="P6" s="8" t="s">
        <v>2403</v>
      </c>
      <c r="Q6" s="8" t="s">
        <v>2404</v>
      </c>
      <c r="R6" s="8" t="s">
        <v>2405</v>
      </c>
      <c r="S6" s="8" t="s">
        <v>109</v>
      </c>
      <c r="T6" s="8" t="s">
        <v>203</v>
      </c>
      <c r="U6" s="9" t="s">
        <v>111</v>
      </c>
    </row>
    <row r="7" ht="82" spans="1:21">
      <c r="A7" s="10" t="s">
        <v>2406</v>
      </c>
      <c r="B7" s="11" t="s">
        <v>2407</v>
      </c>
      <c r="C7" s="11" t="s">
        <v>1490</v>
      </c>
      <c r="D7" s="11" t="s">
        <v>2408</v>
      </c>
      <c r="E7" s="11" t="s">
        <v>2409</v>
      </c>
      <c r="F7" s="11" t="s">
        <v>2396</v>
      </c>
      <c r="G7" s="11" t="s">
        <v>2410</v>
      </c>
      <c r="H7" s="11" t="s">
        <v>2386</v>
      </c>
      <c r="I7" s="11" t="s">
        <v>2411</v>
      </c>
      <c r="J7" s="11" t="s">
        <v>2412</v>
      </c>
      <c r="K7" s="11" t="s">
        <v>2389</v>
      </c>
      <c r="L7" s="11" t="s">
        <v>2413</v>
      </c>
      <c r="M7" s="11" t="s">
        <v>2414</v>
      </c>
      <c r="N7" s="11" t="s">
        <v>2392</v>
      </c>
      <c r="O7" s="11" t="s">
        <v>105</v>
      </c>
      <c r="P7" s="11" t="s">
        <v>2415</v>
      </c>
      <c r="Q7" s="11" t="s">
        <v>2416</v>
      </c>
      <c r="R7" s="11" t="s">
        <v>2417</v>
      </c>
      <c r="S7" s="11" t="s">
        <v>109</v>
      </c>
      <c r="T7" s="11" t="s">
        <v>203</v>
      </c>
      <c r="U7" s="12" t="s">
        <v>111</v>
      </c>
    </row>
    <row r="8" ht="41" spans="1:21">
      <c r="A8" s="7" t="s">
        <v>2418</v>
      </c>
      <c r="B8" s="8" t="s">
        <v>2419</v>
      </c>
      <c r="C8" s="8" t="s">
        <v>1490</v>
      </c>
      <c r="D8" s="8" t="s">
        <v>2420</v>
      </c>
      <c r="E8" s="8" t="s">
        <v>2421</v>
      </c>
      <c r="F8" s="8" t="s">
        <v>2396</v>
      </c>
      <c r="G8" s="8" t="s">
        <v>2422</v>
      </c>
      <c r="H8" s="8" t="s">
        <v>2386</v>
      </c>
      <c r="I8" s="8" t="s">
        <v>2423</v>
      </c>
      <c r="J8" s="8" t="s">
        <v>2424</v>
      </c>
      <c r="K8" s="8" t="s">
        <v>2425</v>
      </c>
      <c r="L8" s="8" t="s">
        <v>2426</v>
      </c>
      <c r="M8" s="8" t="s">
        <v>2427</v>
      </c>
      <c r="N8" s="8" t="s">
        <v>2392</v>
      </c>
      <c r="O8" s="8" t="s">
        <v>105</v>
      </c>
      <c r="P8" s="8" t="s">
        <v>2428</v>
      </c>
      <c r="Q8" s="8" t="s">
        <v>2429</v>
      </c>
      <c r="R8" s="8" t="s">
        <v>2430</v>
      </c>
      <c r="S8" s="8" t="s">
        <v>109</v>
      </c>
      <c r="T8" s="8" t="s">
        <v>203</v>
      </c>
      <c r="U8" s="9" t="s">
        <v>111</v>
      </c>
    </row>
    <row r="9" ht="28" spans="1:21">
      <c r="A9" s="10" t="s">
        <v>2431</v>
      </c>
      <c r="B9" s="11" t="s">
        <v>2432</v>
      </c>
      <c r="C9" s="11" t="s">
        <v>2433</v>
      </c>
      <c r="D9" s="11" t="s">
        <v>2434</v>
      </c>
      <c r="E9" s="11" t="s">
        <v>2435</v>
      </c>
      <c r="F9" s="11" t="s">
        <v>2436</v>
      </c>
      <c r="G9" s="11" t="s">
        <v>2437</v>
      </c>
      <c r="H9" s="11" t="s">
        <v>2386</v>
      </c>
      <c r="I9" s="11" t="s">
        <v>2438</v>
      </c>
      <c r="J9" s="11" t="s">
        <v>2439</v>
      </c>
      <c r="K9" s="11" t="s">
        <v>2440</v>
      </c>
      <c r="L9" s="11" t="s">
        <v>2441</v>
      </c>
      <c r="M9" s="11" t="s">
        <v>2442</v>
      </c>
      <c r="N9" s="11" t="s">
        <v>2443</v>
      </c>
      <c r="O9" s="11" t="s">
        <v>105</v>
      </c>
      <c r="P9" s="11" t="s">
        <v>119</v>
      </c>
      <c r="Q9" s="11" t="s">
        <v>120</v>
      </c>
      <c r="R9" s="11" t="s">
        <v>1316</v>
      </c>
      <c r="S9" s="11" t="s">
        <v>121</v>
      </c>
      <c r="T9" s="11" t="s">
        <v>203</v>
      </c>
      <c r="U9" s="12" t="s">
        <v>111</v>
      </c>
    </row>
    <row r="10" ht="55" spans="1:21">
      <c r="A10" s="7" t="s">
        <v>2444</v>
      </c>
      <c r="B10" s="8" t="s">
        <v>2445</v>
      </c>
      <c r="C10" s="8" t="s">
        <v>1490</v>
      </c>
      <c r="D10" s="8" t="s">
        <v>496</v>
      </c>
      <c r="E10" s="8" t="s">
        <v>2446</v>
      </c>
      <c r="F10" s="8" t="s">
        <v>2436</v>
      </c>
      <c r="G10" s="8" t="s">
        <v>2447</v>
      </c>
      <c r="H10" s="8" t="s">
        <v>2386</v>
      </c>
      <c r="I10" s="8" t="s">
        <v>2448</v>
      </c>
      <c r="J10" s="8" t="s">
        <v>2449</v>
      </c>
      <c r="K10" s="8" t="s">
        <v>2450</v>
      </c>
      <c r="L10" s="8" t="s">
        <v>2451</v>
      </c>
      <c r="M10" s="8" t="s">
        <v>2452</v>
      </c>
      <c r="N10" s="8" t="s">
        <v>2443</v>
      </c>
      <c r="O10" s="8" t="s">
        <v>105</v>
      </c>
      <c r="P10" s="8" t="s">
        <v>1896</v>
      </c>
      <c r="Q10" s="8" t="s">
        <v>1897</v>
      </c>
      <c r="R10" s="8" t="s">
        <v>1898</v>
      </c>
      <c r="S10" s="8" t="s">
        <v>109</v>
      </c>
      <c r="T10" s="8" t="s">
        <v>110</v>
      </c>
      <c r="U10" s="9" t="s">
        <v>111</v>
      </c>
    </row>
    <row r="11" ht="28" spans="1:21">
      <c r="A11" s="10" t="s">
        <v>2453</v>
      </c>
      <c r="B11" s="11" t="s">
        <v>2454</v>
      </c>
      <c r="C11" s="11" t="s">
        <v>1490</v>
      </c>
      <c r="D11" s="11" t="s">
        <v>2455</v>
      </c>
      <c r="E11" s="11" t="s">
        <v>444</v>
      </c>
      <c r="F11" s="11" t="s">
        <v>2436</v>
      </c>
      <c r="G11" s="11" t="s">
        <v>2456</v>
      </c>
      <c r="H11" s="11" t="s">
        <v>2386</v>
      </c>
      <c r="I11" s="11" t="s">
        <v>2457</v>
      </c>
      <c r="J11" s="11" t="s">
        <v>2458</v>
      </c>
      <c r="K11" s="11" t="s">
        <v>2459</v>
      </c>
      <c r="L11" s="11" t="s">
        <v>2460</v>
      </c>
      <c r="M11" s="11" t="s">
        <v>2461</v>
      </c>
      <c r="N11" s="11" t="s">
        <v>2443</v>
      </c>
      <c r="O11" s="11" t="s">
        <v>105</v>
      </c>
      <c r="P11" s="11" t="s">
        <v>446</v>
      </c>
      <c r="Q11" s="11" t="s">
        <v>447</v>
      </c>
      <c r="R11" s="11" t="s">
        <v>448</v>
      </c>
      <c r="S11" s="11" t="s">
        <v>109</v>
      </c>
      <c r="T11" s="11" t="s">
        <v>203</v>
      </c>
      <c r="U11" s="12" t="s">
        <v>111</v>
      </c>
    </row>
    <row r="12" spans="1:21">
      <c r="A12" s="7" t="s">
        <v>2462</v>
      </c>
      <c r="B12" s="8" t="s">
        <v>2463</v>
      </c>
      <c r="C12" s="8" t="s">
        <v>1490</v>
      </c>
      <c r="D12" s="8" t="s">
        <v>433</v>
      </c>
      <c r="E12" s="8" t="s">
        <v>2464</v>
      </c>
      <c r="F12" s="8" t="s">
        <v>2436</v>
      </c>
      <c r="G12" s="8" t="s">
        <v>2465</v>
      </c>
      <c r="H12" s="8" t="s">
        <v>2386</v>
      </c>
      <c r="I12" s="8" t="s">
        <v>2466</v>
      </c>
      <c r="J12" s="8" t="s">
        <v>2467</v>
      </c>
      <c r="K12" s="8" t="s">
        <v>2440</v>
      </c>
      <c r="L12" s="8" t="s">
        <v>2468</v>
      </c>
      <c r="M12" s="8" t="s">
        <v>2469</v>
      </c>
      <c r="N12" s="8" t="s">
        <v>2443</v>
      </c>
      <c r="O12" s="8" t="s">
        <v>105</v>
      </c>
      <c r="P12" s="8" t="s">
        <v>432</v>
      </c>
      <c r="Q12" s="8" t="s">
        <v>433</v>
      </c>
      <c r="R12" s="8" t="s">
        <v>434</v>
      </c>
      <c r="S12" s="8" t="s">
        <v>121</v>
      </c>
      <c r="T12" s="8" t="s">
        <v>203</v>
      </c>
      <c r="U12" s="9" t="s">
        <v>111</v>
      </c>
    </row>
    <row r="13" ht="68" spans="1:21">
      <c r="A13" s="10" t="s">
        <v>2470</v>
      </c>
      <c r="B13" s="11" t="s">
        <v>2471</v>
      </c>
      <c r="C13" s="11" t="s">
        <v>1490</v>
      </c>
      <c r="D13" s="11" t="s">
        <v>2472</v>
      </c>
      <c r="E13" s="11" t="s">
        <v>2473</v>
      </c>
      <c r="F13" s="11" t="s">
        <v>2396</v>
      </c>
      <c r="G13" s="11" t="s">
        <v>2474</v>
      </c>
      <c r="H13" s="11" t="s">
        <v>2386</v>
      </c>
      <c r="I13" s="11" t="s">
        <v>2475</v>
      </c>
      <c r="J13" s="11" t="s">
        <v>2476</v>
      </c>
      <c r="K13" s="11" t="s">
        <v>2459</v>
      </c>
      <c r="L13" s="11" t="s">
        <v>2477</v>
      </c>
      <c r="M13" s="11" t="s">
        <v>2478</v>
      </c>
      <c r="N13" s="11" t="s">
        <v>2479</v>
      </c>
      <c r="O13" s="11" t="s">
        <v>105</v>
      </c>
      <c r="P13" s="11" t="s">
        <v>2480</v>
      </c>
      <c r="Q13" s="11" t="s">
        <v>2481</v>
      </c>
      <c r="R13" s="11" t="s">
        <v>2482</v>
      </c>
      <c r="S13" s="11" t="s">
        <v>109</v>
      </c>
      <c r="T13" s="11" t="s">
        <v>203</v>
      </c>
      <c r="U13" s="12" t="s">
        <v>111</v>
      </c>
    </row>
    <row r="14" ht="28" spans="1:21">
      <c r="A14" s="7" t="s">
        <v>2483</v>
      </c>
      <c r="B14" s="8" t="s">
        <v>2484</v>
      </c>
      <c r="C14" s="8" t="s">
        <v>2485</v>
      </c>
      <c r="D14" s="8" t="s">
        <v>2486</v>
      </c>
      <c r="E14" s="8" t="s">
        <v>2487</v>
      </c>
      <c r="F14" s="8" t="s">
        <v>2396</v>
      </c>
      <c r="G14" s="8" t="s">
        <v>2488</v>
      </c>
      <c r="H14" s="8" t="s">
        <v>2386</v>
      </c>
      <c r="I14" s="8" t="s">
        <v>2489</v>
      </c>
      <c r="J14" s="8" t="s">
        <v>2490</v>
      </c>
      <c r="K14" s="8" t="s">
        <v>2400</v>
      </c>
      <c r="L14" s="8" t="s">
        <v>2491</v>
      </c>
      <c r="M14" s="8" t="s">
        <v>2492</v>
      </c>
      <c r="N14" s="8" t="s">
        <v>2493</v>
      </c>
      <c r="O14" s="8" t="s">
        <v>105</v>
      </c>
      <c r="P14" s="8" t="s">
        <v>1330</v>
      </c>
      <c r="Q14" s="8" t="s">
        <v>1331</v>
      </c>
      <c r="R14" s="8" t="s">
        <v>1332</v>
      </c>
      <c r="S14" s="8" t="s">
        <v>109</v>
      </c>
      <c r="T14" s="8" t="s">
        <v>203</v>
      </c>
      <c r="U14" s="9" t="s">
        <v>111</v>
      </c>
    </row>
    <row r="15" ht="28" spans="1:21">
      <c r="A15" s="10" t="s">
        <v>2494</v>
      </c>
      <c r="B15" s="11" t="s">
        <v>2495</v>
      </c>
      <c r="C15" s="11" t="s">
        <v>1490</v>
      </c>
      <c r="D15" s="11" t="s">
        <v>2496</v>
      </c>
      <c r="E15" s="11" t="s">
        <v>2497</v>
      </c>
      <c r="F15" s="11" t="s">
        <v>1032</v>
      </c>
      <c r="G15" s="11" t="s">
        <v>2498</v>
      </c>
      <c r="H15" s="11" t="s">
        <v>2386</v>
      </c>
      <c r="I15" s="11" t="s">
        <v>2499</v>
      </c>
      <c r="J15" s="11" t="s">
        <v>2500</v>
      </c>
      <c r="K15" s="11" t="s">
        <v>2501</v>
      </c>
      <c r="L15" s="11" t="s">
        <v>2502</v>
      </c>
      <c r="M15" s="11" t="s">
        <v>2503</v>
      </c>
      <c r="N15" s="11" t="s">
        <v>2504</v>
      </c>
      <c r="O15" s="11" t="s">
        <v>105</v>
      </c>
      <c r="P15" s="11" t="s">
        <v>155</v>
      </c>
      <c r="Q15" s="11" t="s">
        <v>156</v>
      </c>
      <c r="R15" s="11" t="s">
        <v>529</v>
      </c>
      <c r="S15" s="11" t="s">
        <v>109</v>
      </c>
      <c r="T15" s="11" t="s">
        <v>110</v>
      </c>
      <c r="U15" s="12" t="s">
        <v>111</v>
      </c>
    </row>
    <row r="16" ht="28" spans="1:21">
      <c r="A16" s="7" t="s">
        <v>2505</v>
      </c>
      <c r="B16" s="8" t="s">
        <v>2506</v>
      </c>
      <c r="C16" s="8" t="s">
        <v>2507</v>
      </c>
      <c r="D16" s="8" t="s">
        <v>2508</v>
      </c>
      <c r="E16" s="8" t="s">
        <v>2509</v>
      </c>
      <c r="F16" s="8" t="s">
        <v>2396</v>
      </c>
      <c r="G16" s="8" t="s">
        <v>2510</v>
      </c>
      <c r="H16" s="8" t="s">
        <v>2386</v>
      </c>
      <c r="I16" s="8" t="s">
        <v>2511</v>
      </c>
      <c r="J16" s="8" t="s">
        <v>2512</v>
      </c>
      <c r="K16" s="8" t="s">
        <v>2400</v>
      </c>
      <c r="L16" s="8" t="s">
        <v>2513</v>
      </c>
      <c r="M16" s="8" t="s">
        <v>2514</v>
      </c>
      <c r="N16" s="8" t="s">
        <v>2515</v>
      </c>
      <c r="O16" s="8" t="s">
        <v>105</v>
      </c>
      <c r="P16" s="8" t="s">
        <v>1487</v>
      </c>
      <c r="Q16" s="8" t="s">
        <v>1323</v>
      </c>
      <c r="R16" s="8" t="s">
        <v>1488</v>
      </c>
      <c r="S16" s="8" t="s">
        <v>109</v>
      </c>
      <c r="T16" s="8" t="s">
        <v>203</v>
      </c>
      <c r="U16" s="9" t="s">
        <v>111</v>
      </c>
    </row>
    <row r="17" ht="55" spans="1:21">
      <c r="A17" s="10" t="s">
        <v>2516</v>
      </c>
      <c r="B17" s="11" t="s">
        <v>2517</v>
      </c>
      <c r="C17" s="11" t="s">
        <v>1490</v>
      </c>
      <c r="D17" s="11" t="s">
        <v>2518</v>
      </c>
      <c r="E17" s="11" t="s">
        <v>2519</v>
      </c>
      <c r="F17" s="11" t="s">
        <v>2396</v>
      </c>
      <c r="G17" s="11" t="s">
        <v>2520</v>
      </c>
      <c r="H17" s="11" t="s">
        <v>2386</v>
      </c>
      <c r="I17" s="11" t="s">
        <v>2521</v>
      </c>
      <c r="J17" s="11" t="s">
        <v>2522</v>
      </c>
      <c r="K17" s="11" t="s">
        <v>2400</v>
      </c>
      <c r="L17" s="11" t="s">
        <v>2523</v>
      </c>
      <c r="M17" s="11" t="s">
        <v>2524</v>
      </c>
      <c r="N17" s="11" t="s">
        <v>2392</v>
      </c>
      <c r="O17" s="11" t="s">
        <v>105</v>
      </c>
      <c r="P17" s="11" t="s">
        <v>2525</v>
      </c>
      <c r="Q17" s="11" t="s">
        <v>2526</v>
      </c>
      <c r="R17" s="11" t="s">
        <v>2527</v>
      </c>
      <c r="S17" s="11" t="s">
        <v>109</v>
      </c>
      <c r="T17" s="11" t="s">
        <v>203</v>
      </c>
      <c r="U17" s="12" t="s">
        <v>111</v>
      </c>
    </row>
    <row r="18" ht="41" spans="1:21">
      <c r="A18" s="7" t="s">
        <v>2528</v>
      </c>
      <c r="B18" s="8" t="s">
        <v>2529</v>
      </c>
      <c r="C18" s="8" t="s">
        <v>1490</v>
      </c>
      <c r="D18" s="8" t="s">
        <v>2530</v>
      </c>
      <c r="E18" s="8" t="s">
        <v>2531</v>
      </c>
      <c r="F18" s="8" t="s">
        <v>2396</v>
      </c>
      <c r="G18" s="8" t="s">
        <v>2532</v>
      </c>
      <c r="H18" s="8" t="s">
        <v>2386</v>
      </c>
      <c r="I18" s="8" t="s">
        <v>2533</v>
      </c>
      <c r="J18" s="8" t="s">
        <v>2534</v>
      </c>
      <c r="K18" s="8" t="s">
        <v>2535</v>
      </c>
      <c r="L18" s="8" t="s">
        <v>2536</v>
      </c>
      <c r="M18" s="8" t="s">
        <v>2537</v>
      </c>
      <c r="N18" s="8" t="s">
        <v>2392</v>
      </c>
      <c r="O18" s="8" t="s">
        <v>105</v>
      </c>
      <c r="P18" s="8" t="s">
        <v>2538</v>
      </c>
      <c r="Q18" s="8" t="s">
        <v>2539</v>
      </c>
      <c r="R18" s="8" t="s">
        <v>2540</v>
      </c>
      <c r="S18" s="8" t="s">
        <v>109</v>
      </c>
      <c r="T18" s="8" t="s">
        <v>203</v>
      </c>
      <c r="U18" s="9" t="s">
        <v>111</v>
      </c>
    </row>
    <row r="19" ht="28" spans="1:21">
      <c r="A19" s="10" t="s">
        <v>2541</v>
      </c>
      <c r="B19" s="11" t="s">
        <v>2542</v>
      </c>
      <c r="C19" s="11" t="s">
        <v>2543</v>
      </c>
      <c r="D19" s="11" t="s">
        <v>2544</v>
      </c>
      <c r="E19" s="11" t="s">
        <v>2545</v>
      </c>
      <c r="F19" s="11" t="s">
        <v>2546</v>
      </c>
      <c r="G19" s="11" t="s">
        <v>2547</v>
      </c>
      <c r="H19" s="11" t="s">
        <v>2548</v>
      </c>
      <c r="I19" s="11" t="s">
        <v>2549</v>
      </c>
      <c r="J19" s="11" t="s">
        <v>2550</v>
      </c>
      <c r="K19" s="11" t="s">
        <v>2551</v>
      </c>
      <c r="L19" s="11" t="s">
        <v>2552</v>
      </c>
      <c r="M19" s="11" t="s">
        <v>2553</v>
      </c>
      <c r="N19" s="11" t="s">
        <v>2554</v>
      </c>
      <c r="O19" s="11" t="s">
        <v>2555</v>
      </c>
      <c r="P19" s="11" t="s">
        <v>598</v>
      </c>
      <c r="Q19" s="11" t="s">
        <v>599</v>
      </c>
      <c r="R19" s="11" t="s">
        <v>600</v>
      </c>
      <c r="S19" s="11" t="s">
        <v>109</v>
      </c>
      <c r="T19" s="11" t="s">
        <v>203</v>
      </c>
      <c r="U19" s="12" t="s">
        <v>111</v>
      </c>
    </row>
    <row r="20" ht="28" spans="1:21">
      <c r="A20" s="7" t="s">
        <v>2556</v>
      </c>
      <c r="B20" s="8" t="s">
        <v>2557</v>
      </c>
      <c r="C20" s="8" t="s">
        <v>1343</v>
      </c>
      <c r="D20" s="8" t="s">
        <v>2186</v>
      </c>
      <c r="E20" s="8" t="s">
        <v>2545</v>
      </c>
      <c r="F20" s="8" t="s">
        <v>2546</v>
      </c>
      <c r="G20" s="8" t="s">
        <v>2547</v>
      </c>
      <c r="H20" s="8" t="s">
        <v>2558</v>
      </c>
      <c r="I20" s="8" t="s">
        <v>2190</v>
      </c>
      <c r="J20" s="8" t="s">
        <v>2550</v>
      </c>
      <c r="K20" s="8" t="s">
        <v>2551</v>
      </c>
      <c r="L20" s="8" t="s">
        <v>2552</v>
      </c>
      <c r="M20" s="8" t="s">
        <v>2553</v>
      </c>
      <c r="N20" s="8" t="s">
        <v>2554</v>
      </c>
      <c r="O20" s="8" t="s">
        <v>2555</v>
      </c>
      <c r="P20" s="8" t="s">
        <v>598</v>
      </c>
      <c r="Q20" s="8" t="s">
        <v>599</v>
      </c>
      <c r="R20" s="8" t="s">
        <v>600</v>
      </c>
      <c r="S20" s="8" t="s">
        <v>109</v>
      </c>
      <c r="T20" s="8" t="s">
        <v>203</v>
      </c>
      <c r="U20" s="9" t="s">
        <v>111</v>
      </c>
    </row>
    <row r="21" ht="28" spans="1:21">
      <c r="A21" s="10" t="s">
        <v>2559</v>
      </c>
      <c r="B21" s="11" t="s">
        <v>2560</v>
      </c>
      <c r="C21" s="11" t="s">
        <v>2561</v>
      </c>
      <c r="D21" s="11" t="s">
        <v>2562</v>
      </c>
      <c r="E21" s="11" t="s">
        <v>2545</v>
      </c>
      <c r="F21" s="11" t="s">
        <v>2546</v>
      </c>
      <c r="G21" s="11" t="s">
        <v>2547</v>
      </c>
      <c r="H21" s="11" t="s">
        <v>2563</v>
      </c>
      <c r="I21" s="11" t="s">
        <v>2564</v>
      </c>
      <c r="J21" s="11" t="s">
        <v>2550</v>
      </c>
      <c r="K21" s="11" t="s">
        <v>2551</v>
      </c>
      <c r="L21" s="11" t="s">
        <v>2552</v>
      </c>
      <c r="M21" s="11" t="s">
        <v>2553</v>
      </c>
      <c r="N21" s="11" t="s">
        <v>2554</v>
      </c>
      <c r="O21" s="11" t="s">
        <v>2555</v>
      </c>
      <c r="P21" s="11" t="s">
        <v>598</v>
      </c>
      <c r="Q21" s="11" t="s">
        <v>599</v>
      </c>
      <c r="R21" s="11" t="s">
        <v>600</v>
      </c>
      <c r="S21" s="11" t="s">
        <v>109</v>
      </c>
      <c r="T21" s="11" t="s">
        <v>203</v>
      </c>
      <c r="U21" s="12" t="s">
        <v>111</v>
      </c>
    </row>
    <row r="22" ht="28" spans="1:21">
      <c r="A22" s="7" t="s">
        <v>2565</v>
      </c>
      <c r="B22" s="8" t="s">
        <v>2566</v>
      </c>
      <c r="C22" s="8" t="s">
        <v>1369</v>
      </c>
      <c r="D22" s="8" t="s">
        <v>729</v>
      </c>
      <c r="E22" s="8" t="s">
        <v>2545</v>
      </c>
      <c r="F22" s="8" t="s">
        <v>2546</v>
      </c>
      <c r="G22" s="8" t="s">
        <v>2547</v>
      </c>
      <c r="H22" s="8" t="s">
        <v>2567</v>
      </c>
      <c r="I22" s="8" t="s">
        <v>2016</v>
      </c>
      <c r="J22" s="8" t="s">
        <v>2550</v>
      </c>
      <c r="K22" s="8" t="s">
        <v>2551</v>
      </c>
      <c r="L22" s="8" t="s">
        <v>2552</v>
      </c>
      <c r="M22" s="8" t="s">
        <v>2553</v>
      </c>
      <c r="N22" s="8" t="s">
        <v>2554</v>
      </c>
      <c r="O22" s="8" t="s">
        <v>2555</v>
      </c>
      <c r="P22" s="8" t="s">
        <v>598</v>
      </c>
      <c r="Q22" s="8" t="s">
        <v>599</v>
      </c>
      <c r="R22" s="8" t="s">
        <v>600</v>
      </c>
      <c r="S22" s="8" t="s">
        <v>109</v>
      </c>
      <c r="T22" s="8" t="s">
        <v>203</v>
      </c>
      <c r="U22" s="9" t="s">
        <v>111</v>
      </c>
    </row>
    <row r="23" ht="28" spans="1:21">
      <c r="A23" s="10" t="s">
        <v>2568</v>
      </c>
      <c r="B23" s="11" t="s">
        <v>2569</v>
      </c>
      <c r="C23" s="11" t="s">
        <v>1369</v>
      </c>
      <c r="D23" s="11" t="s">
        <v>592</v>
      </c>
      <c r="E23" s="11" t="s">
        <v>2545</v>
      </c>
      <c r="F23" s="11" t="s">
        <v>2546</v>
      </c>
      <c r="G23" s="11" t="s">
        <v>2570</v>
      </c>
      <c r="H23" s="11" t="s">
        <v>2571</v>
      </c>
      <c r="I23" s="11" t="s">
        <v>2572</v>
      </c>
      <c r="J23" s="11" t="s">
        <v>2550</v>
      </c>
      <c r="K23" s="11" t="s">
        <v>2551</v>
      </c>
      <c r="L23" s="11" t="s">
        <v>2552</v>
      </c>
      <c r="M23" s="11" t="s">
        <v>2553</v>
      </c>
      <c r="N23" s="11" t="s">
        <v>2554</v>
      </c>
      <c r="O23" s="11" t="s">
        <v>2555</v>
      </c>
      <c r="P23" s="11" t="s">
        <v>598</v>
      </c>
      <c r="Q23" s="11" t="s">
        <v>599</v>
      </c>
      <c r="R23" s="11" t="s">
        <v>600</v>
      </c>
      <c r="S23" s="11" t="s">
        <v>109</v>
      </c>
      <c r="T23" s="11" t="s">
        <v>203</v>
      </c>
      <c r="U23" s="12" t="s">
        <v>111</v>
      </c>
    </row>
    <row r="24" ht="28" spans="1:21">
      <c r="A24" s="7" t="s">
        <v>2573</v>
      </c>
      <c r="B24" s="8" t="s">
        <v>2574</v>
      </c>
      <c r="C24" s="8" t="s">
        <v>2084</v>
      </c>
      <c r="D24" s="8" t="s">
        <v>2083</v>
      </c>
      <c r="E24" s="8" t="s">
        <v>2545</v>
      </c>
      <c r="F24" s="8" t="s">
        <v>2546</v>
      </c>
      <c r="G24" s="8" t="s">
        <v>2570</v>
      </c>
      <c r="H24" s="8" t="s">
        <v>2575</v>
      </c>
      <c r="I24" s="8" t="s">
        <v>2576</v>
      </c>
      <c r="J24" s="8" t="s">
        <v>2550</v>
      </c>
      <c r="K24" s="8" t="s">
        <v>2551</v>
      </c>
      <c r="L24" s="8" t="s">
        <v>2552</v>
      </c>
      <c r="M24" s="8" t="s">
        <v>2553</v>
      </c>
      <c r="N24" s="8" t="s">
        <v>2554</v>
      </c>
      <c r="O24" s="8" t="s">
        <v>2555</v>
      </c>
      <c r="P24" s="8" t="s">
        <v>598</v>
      </c>
      <c r="Q24" s="8" t="s">
        <v>599</v>
      </c>
      <c r="R24" s="8" t="s">
        <v>600</v>
      </c>
      <c r="S24" s="8" t="s">
        <v>109</v>
      </c>
      <c r="T24" s="8" t="s">
        <v>203</v>
      </c>
      <c r="U24" s="9" t="s">
        <v>111</v>
      </c>
    </row>
    <row r="25" ht="28" spans="1:21">
      <c r="A25" s="10" t="s">
        <v>2577</v>
      </c>
      <c r="B25" s="11" t="s">
        <v>2578</v>
      </c>
      <c r="C25" s="11" t="s">
        <v>1343</v>
      </c>
      <c r="D25" s="11" t="s">
        <v>2579</v>
      </c>
      <c r="E25" s="11" t="s">
        <v>2545</v>
      </c>
      <c r="F25" s="11" t="s">
        <v>2546</v>
      </c>
      <c r="G25" s="11" t="s">
        <v>2570</v>
      </c>
      <c r="H25" s="11" t="s">
        <v>2580</v>
      </c>
      <c r="I25" s="11" t="s">
        <v>2581</v>
      </c>
      <c r="J25" s="11" t="s">
        <v>2550</v>
      </c>
      <c r="K25" s="11" t="s">
        <v>2551</v>
      </c>
      <c r="L25" s="11" t="s">
        <v>2552</v>
      </c>
      <c r="M25" s="11" t="s">
        <v>2553</v>
      </c>
      <c r="N25" s="11" t="s">
        <v>2554</v>
      </c>
      <c r="O25" s="11" t="s">
        <v>2555</v>
      </c>
      <c r="P25" s="11" t="s">
        <v>598</v>
      </c>
      <c r="Q25" s="11" t="s">
        <v>599</v>
      </c>
      <c r="R25" s="11" t="s">
        <v>600</v>
      </c>
      <c r="S25" s="11" t="s">
        <v>109</v>
      </c>
      <c r="T25" s="11" t="s">
        <v>203</v>
      </c>
      <c r="U25" s="12" t="s">
        <v>111</v>
      </c>
    </row>
    <row r="26" ht="28" spans="1:21">
      <c r="A26" s="7" t="s">
        <v>2582</v>
      </c>
      <c r="B26" s="8" t="s">
        <v>2583</v>
      </c>
      <c r="C26" s="8" t="s">
        <v>2093</v>
      </c>
      <c r="D26" s="8" t="s">
        <v>2092</v>
      </c>
      <c r="E26" s="8" t="s">
        <v>2545</v>
      </c>
      <c r="F26" s="8" t="s">
        <v>2546</v>
      </c>
      <c r="G26" s="8" t="s">
        <v>771</v>
      </c>
      <c r="H26" s="8" t="s">
        <v>2584</v>
      </c>
      <c r="I26" s="8" t="s">
        <v>2585</v>
      </c>
      <c r="J26" s="8" t="s">
        <v>2550</v>
      </c>
      <c r="K26" s="8" t="s">
        <v>2551</v>
      </c>
      <c r="L26" s="8" t="s">
        <v>2552</v>
      </c>
      <c r="M26" s="8" t="s">
        <v>2553</v>
      </c>
      <c r="N26" s="8" t="s">
        <v>2554</v>
      </c>
      <c r="O26" s="8" t="s">
        <v>2555</v>
      </c>
      <c r="P26" s="8" t="s">
        <v>598</v>
      </c>
      <c r="Q26" s="8" t="s">
        <v>599</v>
      </c>
      <c r="R26" s="8" t="s">
        <v>600</v>
      </c>
      <c r="S26" s="8" t="s">
        <v>109</v>
      </c>
      <c r="T26" s="8" t="s">
        <v>203</v>
      </c>
      <c r="U26" s="9" t="s">
        <v>111</v>
      </c>
    </row>
    <row r="27" ht="28" spans="1:21">
      <c r="A27" s="10" t="s">
        <v>2586</v>
      </c>
      <c r="B27" s="11" t="s">
        <v>2587</v>
      </c>
      <c r="C27" s="11" t="s">
        <v>2067</v>
      </c>
      <c r="D27" s="11" t="s">
        <v>773</v>
      </c>
      <c r="E27" s="11" t="s">
        <v>2545</v>
      </c>
      <c r="F27" s="11" t="s">
        <v>2546</v>
      </c>
      <c r="G27" s="11" t="s">
        <v>771</v>
      </c>
      <c r="H27" s="11" t="s">
        <v>2588</v>
      </c>
      <c r="I27" s="11" t="s">
        <v>2589</v>
      </c>
      <c r="J27" s="11" t="s">
        <v>2550</v>
      </c>
      <c r="K27" s="11" t="s">
        <v>2551</v>
      </c>
      <c r="L27" s="11" t="s">
        <v>2552</v>
      </c>
      <c r="M27" s="11" t="s">
        <v>2553</v>
      </c>
      <c r="N27" s="11" t="s">
        <v>2554</v>
      </c>
      <c r="O27" s="11" t="s">
        <v>2555</v>
      </c>
      <c r="P27" s="11" t="s">
        <v>598</v>
      </c>
      <c r="Q27" s="11" t="s">
        <v>599</v>
      </c>
      <c r="R27" s="11" t="s">
        <v>600</v>
      </c>
      <c r="S27" s="11" t="s">
        <v>109</v>
      </c>
      <c r="T27" s="11" t="s">
        <v>203</v>
      </c>
      <c r="U27" s="12" t="s">
        <v>111</v>
      </c>
    </row>
    <row r="28" ht="28" spans="1:21">
      <c r="A28" s="7" t="s">
        <v>2590</v>
      </c>
      <c r="B28" s="8" t="s">
        <v>2591</v>
      </c>
      <c r="C28" s="8" t="s">
        <v>2561</v>
      </c>
      <c r="D28" s="8" t="s">
        <v>2153</v>
      </c>
      <c r="E28" s="8" t="s">
        <v>2545</v>
      </c>
      <c r="F28" s="8" t="s">
        <v>2546</v>
      </c>
      <c r="G28" s="8" t="s">
        <v>2155</v>
      </c>
      <c r="H28" s="8" t="s">
        <v>2592</v>
      </c>
      <c r="I28" s="8" t="s">
        <v>2593</v>
      </c>
      <c r="J28" s="8" t="s">
        <v>2550</v>
      </c>
      <c r="K28" s="8" t="s">
        <v>2551</v>
      </c>
      <c r="L28" s="8" t="s">
        <v>2552</v>
      </c>
      <c r="M28" s="8" t="s">
        <v>2553</v>
      </c>
      <c r="N28" s="8" t="s">
        <v>2554</v>
      </c>
      <c r="O28" s="8" t="s">
        <v>2555</v>
      </c>
      <c r="P28" s="8" t="s">
        <v>598</v>
      </c>
      <c r="Q28" s="8" t="s">
        <v>599</v>
      </c>
      <c r="R28" s="8" t="s">
        <v>600</v>
      </c>
      <c r="S28" s="8" t="s">
        <v>109</v>
      </c>
      <c r="T28" s="8" t="s">
        <v>203</v>
      </c>
      <c r="U28" s="9" t="s">
        <v>111</v>
      </c>
    </row>
    <row r="29" ht="28" spans="1:21">
      <c r="A29" s="10" t="s">
        <v>2594</v>
      </c>
      <c r="B29" s="11" t="s">
        <v>2595</v>
      </c>
      <c r="C29" s="11" t="s">
        <v>2596</v>
      </c>
      <c r="D29" s="11" t="s">
        <v>2116</v>
      </c>
      <c r="E29" s="11" t="s">
        <v>2545</v>
      </c>
      <c r="F29" s="11" t="s">
        <v>2546</v>
      </c>
      <c r="G29" s="11" t="s">
        <v>771</v>
      </c>
      <c r="H29" s="11" t="s">
        <v>2597</v>
      </c>
      <c r="I29" s="11" t="s">
        <v>2598</v>
      </c>
      <c r="J29" s="11" t="s">
        <v>2550</v>
      </c>
      <c r="K29" s="11" t="s">
        <v>2551</v>
      </c>
      <c r="L29" s="11" t="s">
        <v>2552</v>
      </c>
      <c r="M29" s="11" t="s">
        <v>2553</v>
      </c>
      <c r="N29" s="11" t="s">
        <v>2554</v>
      </c>
      <c r="O29" s="11" t="s">
        <v>2555</v>
      </c>
      <c r="P29" s="11" t="s">
        <v>598</v>
      </c>
      <c r="Q29" s="11" t="s">
        <v>599</v>
      </c>
      <c r="R29" s="11" t="s">
        <v>600</v>
      </c>
      <c r="S29" s="11" t="s">
        <v>109</v>
      </c>
      <c r="T29" s="11" t="s">
        <v>203</v>
      </c>
      <c r="U29" s="12" t="s">
        <v>111</v>
      </c>
    </row>
    <row r="30" ht="28" spans="1:21">
      <c r="A30" s="7" t="s">
        <v>2599</v>
      </c>
      <c r="B30" s="8" t="s">
        <v>2600</v>
      </c>
      <c r="C30" s="8" t="s">
        <v>2067</v>
      </c>
      <c r="D30" s="8" t="s">
        <v>655</v>
      </c>
      <c r="E30" s="8" t="s">
        <v>2545</v>
      </c>
      <c r="F30" s="8" t="s">
        <v>2546</v>
      </c>
      <c r="G30" s="8" t="s">
        <v>2601</v>
      </c>
      <c r="H30" s="8" t="s">
        <v>2602</v>
      </c>
      <c r="I30" s="8" t="s">
        <v>2603</v>
      </c>
      <c r="J30" s="8" t="s">
        <v>2550</v>
      </c>
      <c r="K30" s="8" t="s">
        <v>2551</v>
      </c>
      <c r="L30" s="8" t="s">
        <v>2552</v>
      </c>
      <c r="M30" s="8" t="s">
        <v>2553</v>
      </c>
      <c r="N30" s="8" t="s">
        <v>2554</v>
      </c>
      <c r="O30" s="8" t="s">
        <v>2555</v>
      </c>
      <c r="P30" s="8" t="s">
        <v>598</v>
      </c>
      <c r="Q30" s="8" t="s">
        <v>599</v>
      </c>
      <c r="R30" s="8" t="s">
        <v>600</v>
      </c>
      <c r="S30" s="8" t="s">
        <v>109</v>
      </c>
      <c r="T30" s="8" t="s">
        <v>203</v>
      </c>
      <c r="U30" s="9" t="s">
        <v>111</v>
      </c>
    </row>
    <row r="31" ht="28" spans="1:21">
      <c r="A31" s="10" t="s">
        <v>2604</v>
      </c>
      <c r="B31" s="11" t="s">
        <v>2605</v>
      </c>
      <c r="C31" s="11" t="s">
        <v>2606</v>
      </c>
      <c r="D31" s="11" t="s">
        <v>661</v>
      </c>
      <c r="E31" s="11" t="s">
        <v>2545</v>
      </c>
      <c r="F31" s="11" t="s">
        <v>2546</v>
      </c>
      <c r="G31" s="11" t="s">
        <v>2601</v>
      </c>
      <c r="H31" s="11" t="s">
        <v>2607</v>
      </c>
      <c r="I31" s="11" t="s">
        <v>2603</v>
      </c>
      <c r="J31" s="11" t="s">
        <v>2550</v>
      </c>
      <c r="K31" s="11" t="s">
        <v>2551</v>
      </c>
      <c r="L31" s="11" t="s">
        <v>2552</v>
      </c>
      <c r="M31" s="11" t="s">
        <v>2553</v>
      </c>
      <c r="N31" s="11" t="s">
        <v>2554</v>
      </c>
      <c r="O31" s="11" t="s">
        <v>2555</v>
      </c>
      <c r="P31" s="11" t="s">
        <v>598</v>
      </c>
      <c r="Q31" s="11" t="s">
        <v>599</v>
      </c>
      <c r="R31" s="11" t="s">
        <v>600</v>
      </c>
      <c r="S31" s="11" t="s">
        <v>109</v>
      </c>
      <c r="T31" s="11" t="s">
        <v>203</v>
      </c>
      <c r="U31" s="12" t="s">
        <v>111</v>
      </c>
    </row>
    <row r="32" ht="28" spans="1:21">
      <c r="A32" s="7" t="s">
        <v>2608</v>
      </c>
      <c r="B32" s="8" t="s">
        <v>2609</v>
      </c>
      <c r="C32" s="8" t="s">
        <v>2084</v>
      </c>
      <c r="D32" s="8" t="s">
        <v>805</v>
      </c>
      <c r="E32" s="8" t="s">
        <v>2545</v>
      </c>
      <c r="F32" s="8" t="s">
        <v>2546</v>
      </c>
      <c r="G32" s="8" t="s">
        <v>803</v>
      </c>
      <c r="H32" s="8" t="s">
        <v>2610</v>
      </c>
      <c r="I32" s="8" t="s">
        <v>2611</v>
      </c>
      <c r="J32" s="8" t="s">
        <v>2550</v>
      </c>
      <c r="K32" s="8" t="s">
        <v>2551</v>
      </c>
      <c r="L32" s="8" t="s">
        <v>2552</v>
      </c>
      <c r="M32" s="8" t="s">
        <v>2553</v>
      </c>
      <c r="N32" s="8" t="s">
        <v>2554</v>
      </c>
      <c r="O32" s="8" t="s">
        <v>2555</v>
      </c>
      <c r="P32" s="8" t="s">
        <v>598</v>
      </c>
      <c r="Q32" s="8" t="s">
        <v>599</v>
      </c>
      <c r="R32" s="8" t="s">
        <v>600</v>
      </c>
      <c r="S32" s="8" t="s">
        <v>109</v>
      </c>
      <c r="T32" s="8" t="s">
        <v>203</v>
      </c>
      <c r="U32" s="9" t="s">
        <v>111</v>
      </c>
    </row>
    <row r="33" ht="28" spans="1:21">
      <c r="A33" s="10" t="s">
        <v>2612</v>
      </c>
      <c r="B33" s="11" t="s">
        <v>2613</v>
      </c>
      <c r="C33" s="11" t="s">
        <v>2596</v>
      </c>
      <c r="D33" s="11" t="s">
        <v>2614</v>
      </c>
      <c r="E33" s="11" t="s">
        <v>2545</v>
      </c>
      <c r="F33" s="11" t="s">
        <v>2546</v>
      </c>
      <c r="G33" s="11" t="s">
        <v>803</v>
      </c>
      <c r="H33" s="11" t="s">
        <v>2615</v>
      </c>
      <c r="I33" s="11" t="s">
        <v>2616</v>
      </c>
      <c r="J33" s="11" t="s">
        <v>2550</v>
      </c>
      <c r="K33" s="11" t="s">
        <v>2551</v>
      </c>
      <c r="L33" s="11" t="s">
        <v>2552</v>
      </c>
      <c r="M33" s="11" t="s">
        <v>2553</v>
      </c>
      <c r="N33" s="11" t="s">
        <v>2554</v>
      </c>
      <c r="O33" s="11" t="s">
        <v>2555</v>
      </c>
      <c r="P33" s="11" t="s">
        <v>598</v>
      </c>
      <c r="Q33" s="11" t="s">
        <v>599</v>
      </c>
      <c r="R33" s="11" t="s">
        <v>600</v>
      </c>
      <c r="S33" s="11" t="s">
        <v>109</v>
      </c>
      <c r="T33" s="11" t="s">
        <v>203</v>
      </c>
      <c r="U33" s="12" t="s">
        <v>111</v>
      </c>
    </row>
    <row r="34" ht="28" spans="1:21">
      <c r="A34" s="7" t="s">
        <v>2617</v>
      </c>
      <c r="B34" s="8" t="s">
        <v>2618</v>
      </c>
      <c r="C34" s="8" t="s">
        <v>2164</v>
      </c>
      <c r="D34" s="8" t="s">
        <v>2163</v>
      </c>
      <c r="E34" s="8" t="s">
        <v>2545</v>
      </c>
      <c r="F34" s="8" t="s">
        <v>2546</v>
      </c>
      <c r="G34" s="8" t="s">
        <v>803</v>
      </c>
      <c r="H34" s="8" t="s">
        <v>2619</v>
      </c>
      <c r="I34" s="8" t="s">
        <v>2620</v>
      </c>
      <c r="J34" s="8" t="s">
        <v>2550</v>
      </c>
      <c r="K34" s="8" t="s">
        <v>2551</v>
      </c>
      <c r="L34" s="8" t="s">
        <v>2552</v>
      </c>
      <c r="M34" s="8" t="s">
        <v>2553</v>
      </c>
      <c r="N34" s="8" t="s">
        <v>2554</v>
      </c>
      <c r="O34" s="8" t="s">
        <v>2555</v>
      </c>
      <c r="P34" s="8" t="s">
        <v>598</v>
      </c>
      <c r="Q34" s="8" t="s">
        <v>599</v>
      </c>
      <c r="R34" s="8" t="s">
        <v>600</v>
      </c>
      <c r="S34" s="8" t="s">
        <v>109</v>
      </c>
      <c r="T34" s="8" t="s">
        <v>203</v>
      </c>
      <c r="U34" s="9" t="s">
        <v>111</v>
      </c>
    </row>
    <row r="35" ht="28" spans="1:21">
      <c r="A35" s="10" t="s">
        <v>2621</v>
      </c>
      <c r="B35" s="11" t="s">
        <v>2622</v>
      </c>
      <c r="C35" s="11" t="s">
        <v>2561</v>
      </c>
      <c r="D35" s="11" t="s">
        <v>647</v>
      </c>
      <c r="E35" s="11" t="s">
        <v>2545</v>
      </c>
      <c r="F35" s="11" t="s">
        <v>2546</v>
      </c>
      <c r="G35" s="11" t="s">
        <v>2623</v>
      </c>
      <c r="H35" s="11" t="s">
        <v>2624</v>
      </c>
      <c r="I35" s="11" t="s">
        <v>2625</v>
      </c>
      <c r="J35" s="11" t="s">
        <v>2550</v>
      </c>
      <c r="K35" s="11" t="s">
        <v>2551</v>
      </c>
      <c r="L35" s="11" t="s">
        <v>2552</v>
      </c>
      <c r="M35" s="11" t="s">
        <v>2553</v>
      </c>
      <c r="N35" s="11" t="s">
        <v>2554</v>
      </c>
      <c r="O35" s="11" t="s">
        <v>2555</v>
      </c>
      <c r="P35" s="11" t="s">
        <v>598</v>
      </c>
      <c r="Q35" s="11" t="s">
        <v>599</v>
      </c>
      <c r="R35" s="11" t="s">
        <v>600</v>
      </c>
      <c r="S35" s="11" t="s">
        <v>109</v>
      </c>
      <c r="T35" s="11" t="s">
        <v>203</v>
      </c>
      <c r="U35" s="12" t="s">
        <v>111</v>
      </c>
    </row>
    <row r="36" ht="28" spans="1:21">
      <c r="A36" s="7" t="s">
        <v>2626</v>
      </c>
      <c r="B36" s="8" t="s">
        <v>2627</v>
      </c>
      <c r="C36" s="8" t="s">
        <v>2628</v>
      </c>
      <c r="D36" s="8" t="s">
        <v>413</v>
      </c>
      <c r="E36" s="8" t="s">
        <v>2545</v>
      </c>
      <c r="F36" s="8" t="s">
        <v>2546</v>
      </c>
      <c r="G36" s="8" t="s">
        <v>2629</v>
      </c>
      <c r="H36" s="8" t="s">
        <v>2630</v>
      </c>
      <c r="I36" s="8" t="s">
        <v>2631</v>
      </c>
      <c r="J36" s="8" t="s">
        <v>2550</v>
      </c>
      <c r="K36" s="8" t="s">
        <v>2551</v>
      </c>
      <c r="L36" s="8" t="s">
        <v>2552</v>
      </c>
      <c r="M36" s="8" t="s">
        <v>2553</v>
      </c>
      <c r="N36" s="8" t="s">
        <v>2554</v>
      </c>
      <c r="O36" s="8" t="s">
        <v>2555</v>
      </c>
      <c r="P36" s="8" t="s">
        <v>598</v>
      </c>
      <c r="Q36" s="8" t="s">
        <v>599</v>
      </c>
      <c r="R36" s="8" t="s">
        <v>600</v>
      </c>
      <c r="S36" s="8" t="s">
        <v>109</v>
      </c>
      <c r="T36" s="8" t="s">
        <v>203</v>
      </c>
      <c r="U36" s="9" t="s">
        <v>111</v>
      </c>
    </row>
    <row r="37" ht="28" spans="1:21">
      <c r="A37" s="10" t="s">
        <v>2632</v>
      </c>
      <c r="B37" s="11" t="s">
        <v>2633</v>
      </c>
      <c r="C37" s="11" t="s">
        <v>2634</v>
      </c>
      <c r="D37" s="11" t="s">
        <v>2338</v>
      </c>
      <c r="E37" s="11" t="s">
        <v>2545</v>
      </c>
      <c r="F37" s="11" t="s">
        <v>2546</v>
      </c>
      <c r="G37" s="11" t="s">
        <v>2635</v>
      </c>
      <c r="H37" s="11" t="s">
        <v>2636</v>
      </c>
      <c r="I37" s="11" t="s">
        <v>2637</v>
      </c>
      <c r="J37" s="11" t="s">
        <v>2550</v>
      </c>
      <c r="K37" s="11" t="s">
        <v>2551</v>
      </c>
      <c r="L37" s="11" t="s">
        <v>2552</v>
      </c>
      <c r="M37" s="11" t="s">
        <v>2553</v>
      </c>
      <c r="N37" s="11" t="s">
        <v>2554</v>
      </c>
      <c r="O37" s="11" t="s">
        <v>2555</v>
      </c>
      <c r="P37" s="11" t="s">
        <v>598</v>
      </c>
      <c r="Q37" s="11" t="s">
        <v>599</v>
      </c>
      <c r="R37" s="11" t="s">
        <v>600</v>
      </c>
      <c r="S37" s="11" t="s">
        <v>109</v>
      </c>
      <c r="T37" s="11" t="s">
        <v>203</v>
      </c>
      <c r="U37" s="12" t="s">
        <v>111</v>
      </c>
    </row>
    <row r="38" ht="28" spans="1:21">
      <c r="A38" s="7" t="s">
        <v>2638</v>
      </c>
      <c r="B38" s="8" t="s">
        <v>2639</v>
      </c>
      <c r="C38" s="8" t="s">
        <v>1369</v>
      </c>
      <c r="D38" s="8" t="s">
        <v>2172</v>
      </c>
      <c r="E38" s="8" t="s">
        <v>2545</v>
      </c>
      <c r="F38" s="8" t="s">
        <v>2546</v>
      </c>
      <c r="G38" s="8" t="s">
        <v>787</v>
      </c>
      <c r="H38" s="8" t="s">
        <v>2640</v>
      </c>
      <c r="I38" s="8" t="s">
        <v>2641</v>
      </c>
      <c r="J38" s="8" t="s">
        <v>2550</v>
      </c>
      <c r="K38" s="8" t="s">
        <v>2551</v>
      </c>
      <c r="L38" s="8" t="s">
        <v>2552</v>
      </c>
      <c r="M38" s="8" t="s">
        <v>2553</v>
      </c>
      <c r="N38" s="8" t="s">
        <v>2554</v>
      </c>
      <c r="O38" s="8" t="s">
        <v>2555</v>
      </c>
      <c r="P38" s="8" t="s">
        <v>598</v>
      </c>
      <c r="Q38" s="8" t="s">
        <v>599</v>
      </c>
      <c r="R38" s="8" t="s">
        <v>600</v>
      </c>
      <c r="S38" s="8" t="s">
        <v>109</v>
      </c>
      <c r="T38" s="8" t="s">
        <v>203</v>
      </c>
      <c r="U38" s="9" t="s">
        <v>111</v>
      </c>
    </row>
    <row r="39" ht="28" spans="1:21">
      <c r="A39" s="10" t="s">
        <v>2642</v>
      </c>
      <c r="B39" s="11" t="s">
        <v>2643</v>
      </c>
      <c r="C39" s="11" t="s">
        <v>2180</v>
      </c>
      <c r="D39" s="11" t="s">
        <v>810</v>
      </c>
      <c r="E39" s="11" t="s">
        <v>2545</v>
      </c>
      <c r="F39" s="11" t="s">
        <v>2546</v>
      </c>
      <c r="G39" s="11" t="s">
        <v>787</v>
      </c>
      <c r="H39" s="11" t="s">
        <v>2644</v>
      </c>
      <c r="I39" s="11" t="s">
        <v>2645</v>
      </c>
      <c r="J39" s="11" t="s">
        <v>2550</v>
      </c>
      <c r="K39" s="11" t="s">
        <v>2551</v>
      </c>
      <c r="L39" s="11" t="s">
        <v>2552</v>
      </c>
      <c r="M39" s="11" t="s">
        <v>2553</v>
      </c>
      <c r="N39" s="11" t="s">
        <v>2554</v>
      </c>
      <c r="O39" s="11" t="s">
        <v>2555</v>
      </c>
      <c r="P39" s="11" t="s">
        <v>598</v>
      </c>
      <c r="Q39" s="11" t="s">
        <v>599</v>
      </c>
      <c r="R39" s="11" t="s">
        <v>600</v>
      </c>
      <c r="S39" s="11" t="s">
        <v>109</v>
      </c>
      <c r="T39" s="11" t="s">
        <v>203</v>
      </c>
      <c r="U39" s="12" t="s">
        <v>111</v>
      </c>
    </row>
    <row r="40" ht="28" spans="1:21">
      <c r="A40" s="7" t="s">
        <v>2646</v>
      </c>
      <c r="B40" s="8" t="s">
        <v>2647</v>
      </c>
      <c r="C40" s="8" t="s">
        <v>1369</v>
      </c>
      <c r="D40" s="8" t="s">
        <v>789</v>
      </c>
      <c r="E40" s="8" t="s">
        <v>2545</v>
      </c>
      <c r="F40" s="8" t="s">
        <v>2546</v>
      </c>
      <c r="G40" s="8" t="s">
        <v>787</v>
      </c>
      <c r="H40" s="8" t="s">
        <v>2648</v>
      </c>
      <c r="I40" s="8" t="s">
        <v>794</v>
      </c>
      <c r="J40" s="8" t="s">
        <v>2550</v>
      </c>
      <c r="K40" s="8" t="s">
        <v>2551</v>
      </c>
      <c r="L40" s="8" t="s">
        <v>2552</v>
      </c>
      <c r="M40" s="8" t="s">
        <v>2553</v>
      </c>
      <c r="N40" s="8" t="s">
        <v>2554</v>
      </c>
      <c r="O40" s="8" t="s">
        <v>2555</v>
      </c>
      <c r="P40" s="8" t="s">
        <v>598</v>
      </c>
      <c r="Q40" s="8" t="s">
        <v>599</v>
      </c>
      <c r="R40" s="8" t="s">
        <v>600</v>
      </c>
      <c r="S40" s="8" t="s">
        <v>109</v>
      </c>
      <c r="T40" s="8" t="s">
        <v>203</v>
      </c>
      <c r="U40" s="9" t="s">
        <v>111</v>
      </c>
    </row>
    <row r="41" ht="28" spans="1:21">
      <c r="A41" s="10" t="s">
        <v>2649</v>
      </c>
      <c r="B41" s="11" t="s">
        <v>2650</v>
      </c>
      <c r="C41" s="11" t="s">
        <v>1369</v>
      </c>
      <c r="D41" s="11" t="s">
        <v>2138</v>
      </c>
      <c r="E41" s="11" t="s">
        <v>2545</v>
      </c>
      <c r="F41" s="11" t="s">
        <v>2546</v>
      </c>
      <c r="G41" s="11" t="s">
        <v>787</v>
      </c>
      <c r="H41" s="11" t="s">
        <v>2651</v>
      </c>
      <c r="I41" s="11" t="s">
        <v>606</v>
      </c>
      <c r="J41" s="11" t="s">
        <v>2550</v>
      </c>
      <c r="K41" s="11" t="s">
        <v>2551</v>
      </c>
      <c r="L41" s="11" t="s">
        <v>2552</v>
      </c>
      <c r="M41" s="11" t="s">
        <v>2553</v>
      </c>
      <c r="N41" s="11" t="s">
        <v>2554</v>
      </c>
      <c r="O41" s="11" t="s">
        <v>2555</v>
      </c>
      <c r="P41" s="11" t="s">
        <v>598</v>
      </c>
      <c r="Q41" s="11" t="s">
        <v>599</v>
      </c>
      <c r="R41" s="11" t="s">
        <v>600</v>
      </c>
      <c r="S41" s="11" t="s">
        <v>109</v>
      </c>
      <c r="T41" s="11" t="s">
        <v>203</v>
      </c>
      <c r="U41" s="12" t="s">
        <v>111</v>
      </c>
    </row>
    <row r="42" ht="28" spans="1:21">
      <c r="A42" s="7" t="s">
        <v>2652</v>
      </c>
      <c r="B42" s="8" t="s">
        <v>2653</v>
      </c>
      <c r="C42" s="8" t="s">
        <v>2146</v>
      </c>
      <c r="D42" s="8" t="s">
        <v>2145</v>
      </c>
      <c r="E42" s="8" t="s">
        <v>2545</v>
      </c>
      <c r="F42" s="8" t="s">
        <v>2546</v>
      </c>
      <c r="G42" s="8" t="s">
        <v>2654</v>
      </c>
      <c r="H42" s="8" t="s">
        <v>2655</v>
      </c>
      <c r="I42" s="8" t="s">
        <v>2656</v>
      </c>
      <c r="J42" s="8" t="s">
        <v>2550</v>
      </c>
      <c r="K42" s="8" t="s">
        <v>2551</v>
      </c>
      <c r="L42" s="8" t="s">
        <v>2552</v>
      </c>
      <c r="M42" s="8" t="s">
        <v>2553</v>
      </c>
      <c r="N42" s="8" t="s">
        <v>2554</v>
      </c>
      <c r="O42" s="8" t="s">
        <v>2555</v>
      </c>
      <c r="P42" s="8" t="s">
        <v>598</v>
      </c>
      <c r="Q42" s="8" t="s">
        <v>599</v>
      </c>
      <c r="R42" s="8" t="s">
        <v>600</v>
      </c>
      <c r="S42" s="8" t="s">
        <v>109</v>
      </c>
      <c r="T42" s="8" t="s">
        <v>203</v>
      </c>
      <c r="U42" s="9" t="s">
        <v>111</v>
      </c>
    </row>
    <row r="43" ht="28" spans="1:21">
      <c r="A43" s="10" t="s">
        <v>2657</v>
      </c>
      <c r="B43" s="11" t="s">
        <v>2658</v>
      </c>
      <c r="C43" s="11" t="s">
        <v>1369</v>
      </c>
      <c r="D43" s="11" t="s">
        <v>2659</v>
      </c>
      <c r="E43" s="11" t="s">
        <v>2545</v>
      </c>
      <c r="F43" s="11" t="s">
        <v>2546</v>
      </c>
      <c r="G43" s="11" t="s">
        <v>2660</v>
      </c>
      <c r="H43" s="11" t="s">
        <v>2661</v>
      </c>
      <c r="I43" s="11" t="s">
        <v>2662</v>
      </c>
      <c r="J43" s="11" t="s">
        <v>2550</v>
      </c>
      <c r="K43" s="11" t="s">
        <v>2551</v>
      </c>
      <c r="L43" s="11" t="s">
        <v>2552</v>
      </c>
      <c r="M43" s="11" t="s">
        <v>2553</v>
      </c>
      <c r="N43" s="11" t="s">
        <v>2554</v>
      </c>
      <c r="O43" s="11" t="s">
        <v>2555</v>
      </c>
      <c r="P43" s="11" t="s">
        <v>598</v>
      </c>
      <c r="Q43" s="11" t="s">
        <v>599</v>
      </c>
      <c r="R43" s="11" t="s">
        <v>600</v>
      </c>
      <c r="S43" s="11" t="s">
        <v>109</v>
      </c>
      <c r="T43" s="11" t="s">
        <v>203</v>
      </c>
      <c r="U43" s="12" t="s">
        <v>111</v>
      </c>
    </row>
    <row r="44" ht="28" spans="1:21">
      <c r="A44" s="7" t="s">
        <v>2663</v>
      </c>
      <c r="B44" s="8" t="s">
        <v>2664</v>
      </c>
      <c r="C44" s="8" t="s">
        <v>2596</v>
      </c>
      <c r="D44" s="8" t="s">
        <v>612</v>
      </c>
      <c r="E44" s="8" t="s">
        <v>2545</v>
      </c>
      <c r="F44" s="8" t="s">
        <v>2546</v>
      </c>
      <c r="G44" s="8" t="s">
        <v>2660</v>
      </c>
      <c r="H44" s="8" t="s">
        <v>2665</v>
      </c>
      <c r="I44" s="8" t="s">
        <v>2666</v>
      </c>
      <c r="J44" s="8" t="s">
        <v>2550</v>
      </c>
      <c r="K44" s="8" t="s">
        <v>2551</v>
      </c>
      <c r="L44" s="8" t="s">
        <v>2552</v>
      </c>
      <c r="M44" s="8" t="s">
        <v>2553</v>
      </c>
      <c r="N44" s="8" t="s">
        <v>2554</v>
      </c>
      <c r="O44" s="8" t="s">
        <v>2555</v>
      </c>
      <c r="P44" s="8" t="s">
        <v>598</v>
      </c>
      <c r="Q44" s="8" t="s">
        <v>599</v>
      </c>
      <c r="R44" s="8" t="s">
        <v>600</v>
      </c>
      <c r="S44" s="8" t="s">
        <v>109</v>
      </c>
      <c r="T44" s="8" t="s">
        <v>203</v>
      </c>
      <c r="U44" s="9" t="s">
        <v>111</v>
      </c>
    </row>
    <row r="45" ht="28" spans="1:21">
      <c r="A45" s="10" t="s">
        <v>2667</v>
      </c>
      <c r="B45" s="11" t="s">
        <v>2668</v>
      </c>
      <c r="C45" s="11" t="s">
        <v>2669</v>
      </c>
      <c r="D45" s="11" t="s">
        <v>2670</v>
      </c>
      <c r="E45" s="11" t="s">
        <v>2545</v>
      </c>
      <c r="F45" s="11" t="s">
        <v>2546</v>
      </c>
      <c r="G45" s="11" t="s">
        <v>2671</v>
      </c>
      <c r="H45" s="11" t="s">
        <v>2672</v>
      </c>
      <c r="I45" s="11" t="s">
        <v>2673</v>
      </c>
      <c r="J45" s="11" t="s">
        <v>2550</v>
      </c>
      <c r="K45" s="11" t="s">
        <v>2551</v>
      </c>
      <c r="L45" s="11" t="s">
        <v>2552</v>
      </c>
      <c r="M45" s="11" t="s">
        <v>2553</v>
      </c>
      <c r="N45" s="11" t="s">
        <v>2554</v>
      </c>
      <c r="O45" s="11" t="s">
        <v>2555</v>
      </c>
      <c r="P45" s="11" t="s">
        <v>598</v>
      </c>
      <c r="Q45" s="11" t="s">
        <v>599</v>
      </c>
      <c r="R45" s="11" t="s">
        <v>600</v>
      </c>
      <c r="S45" s="11" t="s">
        <v>109</v>
      </c>
      <c r="T45" s="11" t="s">
        <v>203</v>
      </c>
      <c r="U45" s="12" t="s">
        <v>111</v>
      </c>
    </row>
    <row r="46" ht="28" spans="1:21">
      <c r="A46" s="7" t="s">
        <v>2674</v>
      </c>
      <c r="B46" s="8" t="s">
        <v>2675</v>
      </c>
      <c r="C46" s="8" t="s">
        <v>2543</v>
      </c>
      <c r="D46" s="8" t="s">
        <v>390</v>
      </c>
      <c r="E46" s="8" t="s">
        <v>2545</v>
      </c>
      <c r="F46" s="8" t="s">
        <v>2546</v>
      </c>
      <c r="G46" s="8" t="s">
        <v>2671</v>
      </c>
      <c r="H46" s="8" t="s">
        <v>2676</v>
      </c>
      <c r="I46" s="8" t="s">
        <v>2677</v>
      </c>
      <c r="J46" s="8" t="s">
        <v>2550</v>
      </c>
      <c r="K46" s="8" t="s">
        <v>2551</v>
      </c>
      <c r="L46" s="8" t="s">
        <v>2552</v>
      </c>
      <c r="M46" s="8" t="s">
        <v>2553</v>
      </c>
      <c r="N46" s="8" t="s">
        <v>2554</v>
      </c>
      <c r="O46" s="8" t="s">
        <v>2555</v>
      </c>
      <c r="P46" s="8" t="s">
        <v>598</v>
      </c>
      <c r="Q46" s="8" t="s">
        <v>599</v>
      </c>
      <c r="R46" s="8" t="s">
        <v>600</v>
      </c>
      <c r="S46" s="8" t="s">
        <v>109</v>
      </c>
      <c r="T46" s="8" t="s">
        <v>203</v>
      </c>
      <c r="U46" s="9" t="s">
        <v>111</v>
      </c>
    </row>
    <row r="47" ht="28" spans="1:21">
      <c r="A47" s="10" t="s">
        <v>2678</v>
      </c>
      <c r="B47" s="11" t="s">
        <v>2679</v>
      </c>
      <c r="C47" s="11" t="s">
        <v>2680</v>
      </c>
      <c r="D47" s="11" t="s">
        <v>2681</v>
      </c>
      <c r="E47" s="11" t="s">
        <v>2545</v>
      </c>
      <c r="F47" s="11" t="s">
        <v>2546</v>
      </c>
      <c r="G47" s="11" t="s">
        <v>2660</v>
      </c>
      <c r="H47" s="11" t="s">
        <v>2682</v>
      </c>
      <c r="I47" s="11" t="s">
        <v>606</v>
      </c>
      <c r="J47" s="11" t="s">
        <v>2550</v>
      </c>
      <c r="K47" s="11" t="s">
        <v>2551</v>
      </c>
      <c r="L47" s="11" t="s">
        <v>2552</v>
      </c>
      <c r="M47" s="11" t="s">
        <v>2553</v>
      </c>
      <c r="N47" s="11" t="s">
        <v>2554</v>
      </c>
      <c r="O47" s="11" t="s">
        <v>2555</v>
      </c>
      <c r="P47" s="11" t="s">
        <v>598</v>
      </c>
      <c r="Q47" s="11" t="s">
        <v>599</v>
      </c>
      <c r="R47" s="11" t="s">
        <v>600</v>
      </c>
      <c r="S47" s="11" t="s">
        <v>109</v>
      </c>
      <c r="T47" s="11" t="s">
        <v>203</v>
      </c>
      <c r="U47" s="12" t="s">
        <v>111</v>
      </c>
    </row>
    <row r="48" ht="28" spans="1:21">
      <c r="A48" s="7" t="s">
        <v>2683</v>
      </c>
      <c r="B48" s="8" t="s">
        <v>2684</v>
      </c>
      <c r="C48" s="8" t="s">
        <v>2685</v>
      </c>
      <c r="D48" s="8" t="s">
        <v>637</v>
      </c>
      <c r="E48" s="8" t="s">
        <v>2545</v>
      </c>
      <c r="F48" s="8" t="s">
        <v>2546</v>
      </c>
      <c r="G48" s="8" t="s">
        <v>2660</v>
      </c>
      <c r="H48" s="8" t="s">
        <v>2686</v>
      </c>
      <c r="I48" s="8" t="s">
        <v>2687</v>
      </c>
      <c r="J48" s="8" t="s">
        <v>2550</v>
      </c>
      <c r="K48" s="8" t="s">
        <v>2551</v>
      </c>
      <c r="L48" s="8" t="s">
        <v>2552</v>
      </c>
      <c r="M48" s="8" t="s">
        <v>2553</v>
      </c>
      <c r="N48" s="8" t="s">
        <v>2554</v>
      </c>
      <c r="O48" s="8" t="s">
        <v>2555</v>
      </c>
      <c r="P48" s="8" t="s">
        <v>598</v>
      </c>
      <c r="Q48" s="8" t="s">
        <v>599</v>
      </c>
      <c r="R48" s="8" t="s">
        <v>600</v>
      </c>
      <c r="S48" s="8" t="s">
        <v>109</v>
      </c>
      <c r="T48" s="8" t="s">
        <v>203</v>
      </c>
      <c r="U48" s="9" t="s">
        <v>111</v>
      </c>
    </row>
    <row r="49" ht="28" spans="1:21">
      <c r="A49" s="10" t="s">
        <v>2688</v>
      </c>
      <c r="B49" s="11" t="s">
        <v>2689</v>
      </c>
      <c r="C49" s="11" t="s">
        <v>1343</v>
      </c>
      <c r="D49" s="11" t="s">
        <v>669</v>
      </c>
      <c r="E49" s="11" t="s">
        <v>2545</v>
      </c>
      <c r="F49" s="11" t="s">
        <v>2546</v>
      </c>
      <c r="G49" s="11" t="s">
        <v>2671</v>
      </c>
      <c r="H49" s="11" t="s">
        <v>2690</v>
      </c>
      <c r="I49" s="11" t="s">
        <v>672</v>
      </c>
      <c r="J49" s="11" t="s">
        <v>2550</v>
      </c>
      <c r="K49" s="11" t="s">
        <v>2551</v>
      </c>
      <c r="L49" s="11" t="s">
        <v>2552</v>
      </c>
      <c r="M49" s="11" t="s">
        <v>2553</v>
      </c>
      <c r="N49" s="11" t="s">
        <v>2554</v>
      </c>
      <c r="O49" s="11" t="s">
        <v>2555</v>
      </c>
      <c r="P49" s="11" t="s">
        <v>598</v>
      </c>
      <c r="Q49" s="11" t="s">
        <v>599</v>
      </c>
      <c r="R49" s="11" t="s">
        <v>600</v>
      </c>
      <c r="S49" s="11" t="s">
        <v>109</v>
      </c>
      <c r="T49" s="11" t="s">
        <v>203</v>
      </c>
      <c r="U49" s="12" t="s">
        <v>111</v>
      </c>
    </row>
    <row r="50" ht="28" spans="1:21">
      <c r="A50" s="7" t="s">
        <v>2691</v>
      </c>
      <c r="B50" s="8" t="s">
        <v>2692</v>
      </c>
      <c r="C50" s="8" t="s">
        <v>2067</v>
      </c>
      <c r="D50" s="8" t="s">
        <v>2693</v>
      </c>
      <c r="E50" s="8" t="s">
        <v>2545</v>
      </c>
      <c r="F50" s="8" t="s">
        <v>2546</v>
      </c>
      <c r="G50" s="8" t="s">
        <v>2660</v>
      </c>
      <c r="H50" s="8" t="s">
        <v>2694</v>
      </c>
      <c r="I50" s="8" t="s">
        <v>2127</v>
      </c>
      <c r="J50" s="8" t="s">
        <v>2550</v>
      </c>
      <c r="K50" s="8" t="s">
        <v>2551</v>
      </c>
      <c r="L50" s="8" t="s">
        <v>2552</v>
      </c>
      <c r="M50" s="8" t="s">
        <v>2553</v>
      </c>
      <c r="N50" s="8" t="s">
        <v>2554</v>
      </c>
      <c r="O50" s="8" t="s">
        <v>2555</v>
      </c>
      <c r="P50" s="8" t="s">
        <v>598</v>
      </c>
      <c r="Q50" s="8" t="s">
        <v>599</v>
      </c>
      <c r="R50" s="8" t="s">
        <v>600</v>
      </c>
      <c r="S50" s="8" t="s">
        <v>109</v>
      </c>
      <c r="T50" s="8" t="s">
        <v>203</v>
      </c>
      <c r="U50" s="9" t="s">
        <v>111</v>
      </c>
    </row>
    <row r="51" ht="28" spans="1:21">
      <c r="A51" s="10" t="s">
        <v>2695</v>
      </c>
      <c r="B51" s="11" t="s">
        <v>2696</v>
      </c>
      <c r="C51" s="11" t="s">
        <v>1369</v>
      </c>
      <c r="D51" s="11" t="s">
        <v>2697</v>
      </c>
      <c r="E51" s="11" t="s">
        <v>2698</v>
      </c>
      <c r="F51" s="11" t="s">
        <v>2699</v>
      </c>
      <c r="G51" s="11" t="s">
        <v>2700</v>
      </c>
      <c r="H51" s="11" t="s">
        <v>2701</v>
      </c>
      <c r="I51" s="11" t="s">
        <v>2702</v>
      </c>
      <c r="J51" s="11" t="s">
        <v>2703</v>
      </c>
      <c r="K51" s="11" t="s">
        <v>2704</v>
      </c>
      <c r="L51" s="11" t="s">
        <v>2705</v>
      </c>
      <c r="M51" s="11" t="s">
        <v>2706</v>
      </c>
      <c r="N51" s="11" t="s">
        <v>2707</v>
      </c>
      <c r="O51" s="11" t="s">
        <v>2708</v>
      </c>
      <c r="P51" s="11" t="s">
        <v>1007</v>
      </c>
      <c r="Q51" s="11" t="s">
        <v>909</v>
      </c>
      <c r="R51" s="11" t="s">
        <v>1008</v>
      </c>
      <c r="S51" s="11" t="s">
        <v>109</v>
      </c>
      <c r="T51" s="11" t="s">
        <v>110</v>
      </c>
      <c r="U51" s="12" t="s">
        <v>111</v>
      </c>
    </row>
    <row r="52" ht="68" spans="1:21">
      <c r="A52" s="7" t="s">
        <v>2709</v>
      </c>
      <c r="B52" s="8" t="s">
        <v>2710</v>
      </c>
      <c r="C52" s="8" t="s">
        <v>2711</v>
      </c>
      <c r="D52" s="8" t="s">
        <v>2712</v>
      </c>
      <c r="E52" s="8" t="s">
        <v>2698</v>
      </c>
      <c r="F52" s="8" t="s">
        <v>1011</v>
      </c>
      <c r="G52" s="8" t="s">
        <v>2713</v>
      </c>
      <c r="H52" s="8" t="s">
        <v>2714</v>
      </c>
      <c r="I52" s="8" t="s">
        <v>2715</v>
      </c>
      <c r="J52" s="8" t="s">
        <v>2716</v>
      </c>
      <c r="K52" s="8" t="s">
        <v>2717</v>
      </c>
      <c r="L52" s="8" t="s">
        <v>2718</v>
      </c>
      <c r="M52" s="8" t="s">
        <v>2719</v>
      </c>
      <c r="N52" s="8" t="s">
        <v>2707</v>
      </c>
      <c r="O52" s="8" t="s">
        <v>2708</v>
      </c>
      <c r="P52" s="8" t="s">
        <v>1013</v>
      </c>
      <c r="Q52" s="8" t="s">
        <v>1014</v>
      </c>
      <c r="R52" s="8" t="s">
        <v>1015</v>
      </c>
      <c r="S52" s="8" t="s">
        <v>109</v>
      </c>
      <c r="T52" s="8" t="s">
        <v>110</v>
      </c>
      <c r="U52" s="9" t="s">
        <v>111</v>
      </c>
    </row>
    <row r="53" ht="28" spans="1:21">
      <c r="A53" s="10" t="s">
        <v>2720</v>
      </c>
      <c r="B53" s="11" t="s">
        <v>2721</v>
      </c>
      <c r="C53" s="11" t="s">
        <v>1850</v>
      </c>
      <c r="D53" s="11" t="s">
        <v>2722</v>
      </c>
      <c r="E53" s="11" t="s">
        <v>2698</v>
      </c>
      <c r="F53" s="11" t="s">
        <v>2723</v>
      </c>
      <c r="G53" s="11" t="s">
        <v>2724</v>
      </c>
      <c r="H53" s="11" t="s">
        <v>2725</v>
      </c>
      <c r="I53" s="11" t="s">
        <v>2726</v>
      </c>
      <c r="J53" s="11" t="s">
        <v>442</v>
      </c>
      <c r="K53" s="11" t="s">
        <v>2727</v>
      </c>
      <c r="L53" s="11" t="s">
        <v>2728</v>
      </c>
      <c r="M53" s="11" t="s">
        <v>2729</v>
      </c>
      <c r="N53" s="11" t="s">
        <v>2707</v>
      </c>
      <c r="O53" s="11" t="s">
        <v>2708</v>
      </c>
      <c r="P53" s="11" t="s">
        <v>2730</v>
      </c>
      <c r="Q53" s="11" t="s">
        <v>2731</v>
      </c>
      <c r="R53" s="11" t="s">
        <v>2732</v>
      </c>
      <c r="S53" s="11" t="s">
        <v>109</v>
      </c>
      <c r="T53" s="11" t="s">
        <v>203</v>
      </c>
      <c r="U53" s="12" t="s">
        <v>111</v>
      </c>
    </row>
    <row r="54" ht="28" spans="1:21">
      <c r="A54" s="7" t="s">
        <v>2733</v>
      </c>
      <c r="B54" s="8" t="s">
        <v>2734</v>
      </c>
      <c r="C54" s="8" t="s">
        <v>2735</v>
      </c>
      <c r="D54" s="8" t="s">
        <v>2736</v>
      </c>
      <c r="E54" s="8" t="s">
        <v>2698</v>
      </c>
      <c r="F54" s="8" t="s">
        <v>2737</v>
      </c>
      <c r="G54" s="8" t="s">
        <v>2738</v>
      </c>
      <c r="H54" s="8" t="s">
        <v>2739</v>
      </c>
      <c r="I54" s="8" t="s">
        <v>2740</v>
      </c>
      <c r="J54" s="8" t="s">
        <v>442</v>
      </c>
      <c r="K54" s="8" t="s">
        <v>2741</v>
      </c>
      <c r="L54" s="8" t="s">
        <v>2742</v>
      </c>
      <c r="M54" s="8" t="s">
        <v>2743</v>
      </c>
      <c r="N54" s="8" t="s">
        <v>2707</v>
      </c>
      <c r="O54" s="8" t="s">
        <v>2708</v>
      </c>
      <c r="P54" s="8" t="s">
        <v>2744</v>
      </c>
      <c r="Q54" s="8" t="s">
        <v>909</v>
      </c>
      <c r="R54" s="8" t="s">
        <v>2745</v>
      </c>
      <c r="S54" s="8" t="s">
        <v>109</v>
      </c>
      <c r="T54" s="8" t="s">
        <v>203</v>
      </c>
      <c r="U54" s="9" t="s">
        <v>111</v>
      </c>
    </row>
    <row r="55" ht="28" spans="1:21">
      <c r="A55" s="10" t="s">
        <v>2746</v>
      </c>
      <c r="B55" s="11" t="s">
        <v>2747</v>
      </c>
      <c r="C55" s="11" t="s">
        <v>2748</v>
      </c>
      <c r="D55" s="11" t="s">
        <v>2749</v>
      </c>
      <c r="E55" s="11" t="s">
        <v>2409</v>
      </c>
      <c r="F55" s="11" t="s">
        <v>2750</v>
      </c>
      <c r="G55" s="11" t="s">
        <v>2751</v>
      </c>
      <c r="H55" s="11" t="s">
        <v>2752</v>
      </c>
      <c r="I55" s="11" t="s">
        <v>2753</v>
      </c>
      <c r="J55" s="11" t="s">
        <v>442</v>
      </c>
      <c r="K55" s="11" t="s">
        <v>905</v>
      </c>
      <c r="L55" s="11" t="s">
        <v>2754</v>
      </c>
      <c r="M55" s="11" t="s">
        <v>2755</v>
      </c>
      <c r="N55" s="11" t="s">
        <v>2707</v>
      </c>
      <c r="O55" s="11" t="s">
        <v>2708</v>
      </c>
      <c r="P55" s="11" t="s">
        <v>2756</v>
      </c>
      <c r="Q55" s="11" t="s">
        <v>2757</v>
      </c>
      <c r="R55" s="11" t="s">
        <v>2758</v>
      </c>
      <c r="S55" s="11" t="s">
        <v>109</v>
      </c>
      <c r="T55" s="11" t="s">
        <v>203</v>
      </c>
      <c r="U55" s="12" t="s">
        <v>111</v>
      </c>
    </row>
    <row r="56" ht="28" spans="1:21">
      <c r="A56" s="7" t="s">
        <v>2759</v>
      </c>
      <c r="B56" s="8" t="s">
        <v>2760</v>
      </c>
      <c r="C56" s="8" t="s">
        <v>1490</v>
      </c>
      <c r="D56" s="8" t="s">
        <v>2761</v>
      </c>
      <c r="E56" s="8" t="s">
        <v>444</v>
      </c>
      <c r="F56" s="8" t="s">
        <v>2762</v>
      </c>
      <c r="G56" s="8" t="s">
        <v>2763</v>
      </c>
      <c r="H56" s="8" t="s">
        <v>2764</v>
      </c>
      <c r="I56" s="8" t="s">
        <v>2765</v>
      </c>
      <c r="J56" s="8" t="s">
        <v>2766</v>
      </c>
      <c r="K56" s="8" t="s">
        <v>1196</v>
      </c>
      <c r="L56" s="8" t="s">
        <v>2767</v>
      </c>
      <c r="M56" s="8" t="s">
        <v>2768</v>
      </c>
      <c r="N56" s="8" t="s">
        <v>2707</v>
      </c>
      <c r="O56" s="8" t="s">
        <v>2708</v>
      </c>
      <c r="P56" s="8" t="s">
        <v>2769</v>
      </c>
      <c r="Q56" s="8" t="s">
        <v>1739</v>
      </c>
      <c r="R56" s="8" t="s">
        <v>448</v>
      </c>
      <c r="S56" s="8" t="s">
        <v>109</v>
      </c>
      <c r="T56" s="8" t="s">
        <v>203</v>
      </c>
      <c r="U56" s="9" t="s">
        <v>111</v>
      </c>
    </row>
    <row r="57" ht="55" spans="1:21">
      <c r="A57" s="10" t="s">
        <v>2770</v>
      </c>
      <c r="B57" s="11" t="s">
        <v>2771</v>
      </c>
      <c r="C57" s="11" t="s">
        <v>1490</v>
      </c>
      <c r="D57" s="11" t="s">
        <v>2772</v>
      </c>
      <c r="E57" s="11" t="s">
        <v>2773</v>
      </c>
      <c r="F57" s="11" t="s">
        <v>2774</v>
      </c>
      <c r="G57" s="11" t="s">
        <v>2775</v>
      </c>
      <c r="H57" s="11" t="s">
        <v>2776</v>
      </c>
      <c r="I57" s="11" t="s">
        <v>2777</v>
      </c>
      <c r="J57" s="11" t="s">
        <v>2778</v>
      </c>
      <c r="K57" s="11" t="s">
        <v>2400</v>
      </c>
      <c r="L57" s="11" t="s">
        <v>2779</v>
      </c>
      <c r="M57" s="11" t="s">
        <v>2780</v>
      </c>
      <c r="N57" s="11" t="s">
        <v>2774</v>
      </c>
      <c r="O57" s="11" t="s">
        <v>2708</v>
      </c>
      <c r="P57" s="11" t="s">
        <v>358</v>
      </c>
      <c r="Q57" s="11" t="s">
        <v>359</v>
      </c>
      <c r="R57" s="11" t="s">
        <v>1190</v>
      </c>
      <c r="S57" s="11" t="s">
        <v>109</v>
      </c>
      <c r="T57" s="11" t="s">
        <v>203</v>
      </c>
      <c r="U57" s="12" t="s">
        <v>111</v>
      </c>
    </row>
    <row r="58" ht="55" spans="1:21">
      <c r="A58" s="16" t="s">
        <v>2781</v>
      </c>
      <c r="B58" s="17" t="s">
        <v>2782</v>
      </c>
      <c r="C58" s="17" t="s">
        <v>1490</v>
      </c>
      <c r="D58" s="17" t="s">
        <v>2783</v>
      </c>
      <c r="E58" s="17" t="s">
        <v>2773</v>
      </c>
      <c r="F58" s="17" t="s">
        <v>2774</v>
      </c>
      <c r="G58" s="17" t="s">
        <v>2784</v>
      </c>
      <c r="H58" s="17" t="s">
        <v>2785</v>
      </c>
      <c r="I58" s="17" t="s">
        <v>2786</v>
      </c>
      <c r="J58" s="17" t="s">
        <v>2787</v>
      </c>
      <c r="K58" s="17" t="s">
        <v>2788</v>
      </c>
      <c r="L58" s="17" t="s">
        <v>2789</v>
      </c>
      <c r="M58" s="17" t="s">
        <v>2790</v>
      </c>
      <c r="N58" s="17" t="s">
        <v>2774</v>
      </c>
      <c r="O58" s="17" t="s">
        <v>2708</v>
      </c>
      <c r="P58" s="17" t="s">
        <v>358</v>
      </c>
      <c r="Q58" s="17" t="s">
        <v>359</v>
      </c>
      <c r="R58" s="17" t="s">
        <v>1190</v>
      </c>
      <c r="S58" s="17" t="s">
        <v>109</v>
      </c>
      <c r="T58" s="17" t="s">
        <v>203</v>
      </c>
      <c r="U58" s="18" t="s">
        <v>111</v>
      </c>
    </row>
  </sheetData>
  <mergeCells count="2">
    <mergeCell ref="A1:U1"/>
    <mergeCell ref="A2:U2"/>
  </mergeCells>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
  <sheetViews>
    <sheetView showGridLines="0" topLeftCell="A16" workbookViewId="0">
      <selection activeCell="A1" sqref="A1:O1"/>
    </sheetView>
  </sheetViews>
  <sheetFormatPr defaultColWidth="9" defaultRowHeight="16.8"/>
  <cols>
    <col min="1" max="1" width="10" customWidth="1"/>
    <col min="2" max="2" width="16" customWidth="1"/>
    <col min="3" max="3" width="43" customWidth="1"/>
    <col min="4" max="4" width="32" customWidth="1"/>
    <col min="5" max="5" width="48" customWidth="1"/>
    <col min="6" max="6" width="26" customWidth="1"/>
    <col min="7" max="7" width="12" customWidth="1"/>
    <col min="8" max="8" width="35" customWidth="1"/>
    <col min="9" max="9" width="11" customWidth="1"/>
    <col min="10" max="10" width="12" customWidth="1"/>
    <col min="11" max="11" width="25" customWidth="1"/>
    <col min="12" max="12" width="44" customWidth="1"/>
    <col min="13" max="13" width="16" customWidth="1"/>
    <col min="14" max="14" width="10" customWidth="1"/>
    <col min="15" max="15" width="12" customWidth="1"/>
  </cols>
  <sheetData>
    <row r="1" ht="32" customHeight="1" spans="1:15">
      <c r="A1" s="1" t="s">
        <v>2791</v>
      </c>
      <c r="B1" s="1"/>
      <c r="C1" s="1"/>
      <c r="D1" s="1"/>
      <c r="E1" s="1"/>
      <c r="F1" s="1"/>
      <c r="G1" s="1"/>
      <c r="H1" s="1"/>
      <c r="I1" s="1"/>
      <c r="J1" s="1"/>
      <c r="K1" s="1"/>
      <c r="L1" s="1"/>
      <c r="M1" s="1"/>
      <c r="N1" s="1"/>
      <c r="O1" s="1"/>
    </row>
    <row r="2" ht="34" customHeight="1" spans="1:15">
      <c r="A2" s="2" t="s">
        <v>2792</v>
      </c>
      <c r="B2" s="2"/>
      <c r="C2" s="2"/>
      <c r="D2" s="2"/>
      <c r="E2" s="2"/>
      <c r="F2" s="2"/>
      <c r="G2" s="2"/>
      <c r="H2" s="2"/>
      <c r="I2" s="2"/>
      <c r="J2" s="2"/>
      <c r="K2" s="2"/>
      <c r="L2" s="2"/>
      <c r="M2" s="2"/>
      <c r="N2" s="2"/>
      <c r="O2" s="2"/>
    </row>
    <row r="4" ht="32" customHeight="1" spans="1:15">
      <c r="A4" s="3" t="s">
        <v>2793</v>
      </c>
      <c r="B4" s="3" t="s">
        <v>2794</v>
      </c>
      <c r="C4" s="3" t="s">
        <v>2795</v>
      </c>
      <c r="D4" s="3" t="s">
        <v>2796</v>
      </c>
      <c r="E4" s="3" t="s">
        <v>2797</v>
      </c>
      <c r="F4" s="3" t="s">
        <v>2798</v>
      </c>
      <c r="G4" s="3" t="s">
        <v>2799</v>
      </c>
      <c r="H4" s="3" t="s">
        <v>2800</v>
      </c>
      <c r="I4" s="3" t="s">
        <v>88</v>
      </c>
      <c r="J4" s="3" t="s">
        <v>90</v>
      </c>
      <c r="K4" s="3" t="s">
        <v>91</v>
      </c>
      <c r="L4" s="3" t="s">
        <v>372</v>
      </c>
      <c r="M4" s="3" t="s">
        <v>92</v>
      </c>
      <c r="N4" s="3" t="s">
        <v>93</v>
      </c>
      <c r="O4" s="3" t="s">
        <v>94</v>
      </c>
    </row>
    <row r="5" ht="28" spans="1:15">
      <c r="A5" s="4" t="s">
        <v>2801</v>
      </c>
      <c r="B5" s="5" t="s">
        <v>2802</v>
      </c>
      <c r="C5" s="5" t="s">
        <v>2803</v>
      </c>
      <c r="D5" s="5" t="s">
        <v>2804</v>
      </c>
      <c r="E5" s="5" t="s">
        <v>2805</v>
      </c>
      <c r="F5" s="5" t="s">
        <v>2806</v>
      </c>
      <c r="G5" s="5" t="s">
        <v>1032</v>
      </c>
      <c r="H5" s="5" t="s">
        <v>2807</v>
      </c>
      <c r="I5" s="5" t="s">
        <v>105</v>
      </c>
      <c r="J5" s="5" t="s">
        <v>155</v>
      </c>
      <c r="K5" s="5" t="s">
        <v>156</v>
      </c>
      <c r="L5" s="5" t="s">
        <v>529</v>
      </c>
      <c r="M5" s="5" t="s">
        <v>109</v>
      </c>
      <c r="N5" s="5" t="s">
        <v>203</v>
      </c>
      <c r="O5" s="6" t="s">
        <v>111</v>
      </c>
    </row>
    <row r="6" ht="41" spans="1:15">
      <c r="A6" s="7" t="s">
        <v>2808</v>
      </c>
      <c r="B6" s="8" t="s">
        <v>2809</v>
      </c>
      <c r="C6" s="8" t="s">
        <v>2810</v>
      </c>
      <c r="D6" s="8" t="s">
        <v>2811</v>
      </c>
      <c r="E6" s="8" t="s">
        <v>2812</v>
      </c>
      <c r="F6" s="8" t="s">
        <v>2813</v>
      </c>
      <c r="G6" s="8" t="s">
        <v>1032</v>
      </c>
      <c r="H6" s="8" t="s">
        <v>2814</v>
      </c>
      <c r="I6" s="8" t="s">
        <v>105</v>
      </c>
      <c r="J6" s="8" t="s">
        <v>2815</v>
      </c>
      <c r="K6" s="8" t="s">
        <v>2816</v>
      </c>
      <c r="L6" s="8" t="s">
        <v>2817</v>
      </c>
      <c r="M6" s="8" t="s">
        <v>109</v>
      </c>
      <c r="N6" s="8" t="s">
        <v>110</v>
      </c>
      <c r="O6" s="9" t="s">
        <v>111</v>
      </c>
    </row>
    <row r="7" ht="28" spans="1:15">
      <c r="A7" s="10" t="s">
        <v>2818</v>
      </c>
      <c r="B7" s="11" t="s">
        <v>2819</v>
      </c>
      <c r="C7" s="11" t="s">
        <v>2820</v>
      </c>
      <c r="D7" s="11" t="s">
        <v>2821</v>
      </c>
      <c r="E7" s="11" t="s">
        <v>2822</v>
      </c>
      <c r="F7" s="11" t="s">
        <v>2823</v>
      </c>
      <c r="G7" s="11" t="s">
        <v>1032</v>
      </c>
      <c r="H7" s="11" t="s">
        <v>2824</v>
      </c>
      <c r="I7" s="11" t="s">
        <v>105</v>
      </c>
      <c r="J7" s="11" t="s">
        <v>155</v>
      </c>
      <c r="K7" s="11" t="s">
        <v>156</v>
      </c>
      <c r="L7" s="11" t="s">
        <v>529</v>
      </c>
      <c r="M7" s="11" t="s">
        <v>109</v>
      </c>
      <c r="N7" s="11" t="s">
        <v>110</v>
      </c>
      <c r="O7" s="12" t="s">
        <v>111</v>
      </c>
    </row>
    <row r="8" ht="41" spans="1:15">
      <c r="A8" s="7" t="s">
        <v>2825</v>
      </c>
      <c r="B8" s="8" t="s">
        <v>2826</v>
      </c>
      <c r="C8" s="8" t="s">
        <v>2827</v>
      </c>
      <c r="D8" s="8" t="s">
        <v>2828</v>
      </c>
      <c r="E8" s="8" t="s">
        <v>2829</v>
      </c>
      <c r="F8" s="8" t="s">
        <v>2830</v>
      </c>
      <c r="G8" s="8" t="s">
        <v>1032</v>
      </c>
      <c r="H8" s="8" t="s">
        <v>2831</v>
      </c>
      <c r="I8" s="8" t="s">
        <v>105</v>
      </c>
      <c r="J8" s="8" t="s">
        <v>2832</v>
      </c>
      <c r="K8" s="8" t="s">
        <v>2833</v>
      </c>
      <c r="L8" s="8" t="s">
        <v>2834</v>
      </c>
      <c r="M8" s="8" t="s">
        <v>109</v>
      </c>
      <c r="N8" s="8" t="s">
        <v>110</v>
      </c>
      <c r="O8" s="9" t="s">
        <v>111</v>
      </c>
    </row>
    <row r="9" ht="28" spans="1:15">
      <c r="A9" s="10" t="s">
        <v>2835</v>
      </c>
      <c r="B9" s="11" t="s">
        <v>2836</v>
      </c>
      <c r="C9" s="11" t="s">
        <v>2837</v>
      </c>
      <c r="D9" s="11" t="s">
        <v>2838</v>
      </c>
      <c r="E9" s="11" t="s">
        <v>2839</v>
      </c>
      <c r="F9" s="11" t="s">
        <v>2840</v>
      </c>
      <c r="G9" s="11" t="s">
        <v>1049</v>
      </c>
      <c r="H9" s="11" t="s">
        <v>2841</v>
      </c>
      <c r="I9" s="11" t="s">
        <v>105</v>
      </c>
      <c r="J9" s="11" t="s">
        <v>1487</v>
      </c>
      <c r="K9" s="11" t="s">
        <v>1323</v>
      </c>
      <c r="L9" s="11" t="s">
        <v>1488</v>
      </c>
      <c r="M9" s="11" t="s">
        <v>109</v>
      </c>
      <c r="N9" s="11" t="s">
        <v>110</v>
      </c>
      <c r="O9" s="12" t="s">
        <v>111</v>
      </c>
    </row>
    <row r="10" ht="55" spans="1:15">
      <c r="A10" s="7" t="s">
        <v>2842</v>
      </c>
      <c r="B10" s="8" t="s">
        <v>2843</v>
      </c>
      <c r="C10" s="8" t="s">
        <v>2844</v>
      </c>
      <c r="D10" s="8" t="s">
        <v>2845</v>
      </c>
      <c r="E10" s="8" t="s">
        <v>2846</v>
      </c>
      <c r="F10" s="8" t="s">
        <v>2847</v>
      </c>
      <c r="G10" s="8" t="s">
        <v>1032</v>
      </c>
      <c r="H10" s="8" t="s">
        <v>2848</v>
      </c>
      <c r="I10" s="8" t="s">
        <v>105</v>
      </c>
      <c r="J10" s="8" t="s">
        <v>563</v>
      </c>
      <c r="K10" s="8" t="s">
        <v>564</v>
      </c>
      <c r="L10" s="8" t="s">
        <v>565</v>
      </c>
      <c r="M10" s="8" t="s">
        <v>109</v>
      </c>
      <c r="N10" s="8" t="s">
        <v>110</v>
      </c>
      <c r="O10" s="9" t="s">
        <v>111</v>
      </c>
    </row>
    <row r="11" ht="82" spans="1:15">
      <c r="A11" s="10" t="s">
        <v>2849</v>
      </c>
      <c r="B11" s="11" t="s">
        <v>2850</v>
      </c>
      <c r="C11" s="11" t="s">
        <v>2851</v>
      </c>
      <c r="D11" s="11" t="s">
        <v>2852</v>
      </c>
      <c r="E11" s="11" t="s">
        <v>2853</v>
      </c>
      <c r="F11" s="11" t="s">
        <v>2854</v>
      </c>
      <c r="G11" s="11" t="s">
        <v>1032</v>
      </c>
      <c r="H11" s="11" t="s">
        <v>2855</v>
      </c>
      <c r="I11" s="11" t="s">
        <v>105</v>
      </c>
      <c r="J11" s="11" t="s">
        <v>2856</v>
      </c>
      <c r="K11" s="11" t="s">
        <v>2857</v>
      </c>
      <c r="L11" s="11" t="s">
        <v>2858</v>
      </c>
      <c r="M11" s="11" t="s">
        <v>109</v>
      </c>
      <c r="N11" s="11" t="s">
        <v>110</v>
      </c>
      <c r="O11" s="12" t="s">
        <v>111</v>
      </c>
    </row>
    <row r="12" spans="1:15">
      <c r="A12" s="7" t="s">
        <v>2859</v>
      </c>
      <c r="B12" s="8" t="s">
        <v>2860</v>
      </c>
      <c r="C12" s="8" t="s">
        <v>2861</v>
      </c>
      <c r="D12" s="8" t="s">
        <v>2862</v>
      </c>
      <c r="E12" s="8" t="s">
        <v>2863</v>
      </c>
      <c r="F12" s="8" t="s">
        <v>2864</v>
      </c>
      <c r="G12" s="8" t="s">
        <v>1032</v>
      </c>
      <c r="H12" s="8" t="s">
        <v>2865</v>
      </c>
      <c r="I12" s="8" t="s">
        <v>105</v>
      </c>
      <c r="J12" s="8" t="s">
        <v>482</v>
      </c>
      <c r="K12" s="8" t="s">
        <v>475</v>
      </c>
      <c r="L12" s="8" t="s">
        <v>483</v>
      </c>
      <c r="M12" s="8" t="s">
        <v>121</v>
      </c>
      <c r="N12" s="8" t="s">
        <v>110</v>
      </c>
      <c r="O12" s="9" t="s">
        <v>111</v>
      </c>
    </row>
    <row r="13" ht="55" spans="1:15">
      <c r="A13" s="10" t="s">
        <v>2866</v>
      </c>
      <c r="B13" s="11" t="s">
        <v>2867</v>
      </c>
      <c r="C13" s="11" t="s">
        <v>2868</v>
      </c>
      <c r="D13" s="11" t="s">
        <v>2869</v>
      </c>
      <c r="E13" s="11" t="s">
        <v>2870</v>
      </c>
      <c r="F13" s="11" t="s">
        <v>2871</v>
      </c>
      <c r="G13" s="11" t="s">
        <v>1049</v>
      </c>
      <c r="H13" s="11" t="s">
        <v>2872</v>
      </c>
      <c r="I13" s="11" t="s">
        <v>105</v>
      </c>
      <c r="J13" s="11" t="s">
        <v>2873</v>
      </c>
      <c r="K13" s="11" t="s">
        <v>2874</v>
      </c>
      <c r="L13" s="11" t="s">
        <v>2875</v>
      </c>
      <c r="M13" s="11" t="s">
        <v>109</v>
      </c>
      <c r="N13" s="11" t="s">
        <v>110</v>
      </c>
      <c r="O13" s="12" t="s">
        <v>111</v>
      </c>
    </row>
    <row r="14" ht="41" spans="1:15">
      <c r="A14" s="7" t="s">
        <v>2876</v>
      </c>
      <c r="B14" s="8" t="s">
        <v>2877</v>
      </c>
      <c r="C14" s="8" t="s">
        <v>2878</v>
      </c>
      <c r="D14" s="8" t="s">
        <v>2879</v>
      </c>
      <c r="E14" s="8" t="s">
        <v>2880</v>
      </c>
      <c r="F14" s="8" t="s">
        <v>2881</v>
      </c>
      <c r="G14" s="8" t="s">
        <v>1032</v>
      </c>
      <c r="H14" s="8" t="s">
        <v>2882</v>
      </c>
      <c r="I14" s="8" t="s">
        <v>105</v>
      </c>
      <c r="J14" s="8" t="s">
        <v>2883</v>
      </c>
      <c r="K14" s="8" t="s">
        <v>2884</v>
      </c>
      <c r="L14" s="8" t="s">
        <v>2885</v>
      </c>
      <c r="M14" s="8" t="s">
        <v>109</v>
      </c>
      <c r="N14" s="8" t="s">
        <v>110</v>
      </c>
      <c r="O14" s="9" t="s">
        <v>111</v>
      </c>
    </row>
    <row r="15" ht="28" spans="1:15">
      <c r="A15" s="10" t="s">
        <v>2886</v>
      </c>
      <c r="B15" s="11" t="s">
        <v>2887</v>
      </c>
      <c r="C15" s="11" t="s">
        <v>2888</v>
      </c>
      <c r="D15" s="11" t="s">
        <v>2889</v>
      </c>
      <c r="E15" s="11" t="s">
        <v>2890</v>
      </c>
      <c r="F15" s="11" t="s">
        <v>2891</v>
      </c>
      <c r="G15" s="11" t="s">
        <v>1032</v>
      </c>
      <c r="H15" s="11" t="s">
        <v>2892</v>
      </c>
      <c r="I15" s="11" t="s">
        <v>105</v>
      </c>
      <c r="J15" s="11" t="s">
        <v>107</v>
      </c>
      <c r="K15" s="11" t="s">
        <v>108</v>
      </c>
      <c r="L15" s="11" t="s">
        <v>1067</v>
      </c>
      <c r="M15" s="11" t="s">
        <v>109</v>
      </c>
      <c r="N15" s="11" t="s">
        <v>110</v>
      </c>
      <c r="O15" s="12" t="s">
        <v>111</v>
      </c>
    </row>
    <row r="16" ht="55" spans="1:15">
      <c r="A16" s="7" t="s">
        <v>2893</v>
      </c>
      <c r="B16" s="8" t="s">
        <v>2894</v>
      </c>
      <c r="C16" s="8" t="s">
        <v>2895</v>
      </c>
      <c r="D16" s="8" t="s">
        <v>2896</v>
      </c>
      <c r="E16" s="8" t="s">
        <v>2897</v>
      </c>
      <c r="F16" s="8" t="s">
        <v>2898</v>
      </c>
      <c r="G16" s="8" t="s">
        <v>1049</v>
      </c>
      <c r="H16" s="8" t="s">
        <v>2899</v>
      </c>
      <c r="I16" s="8" t="s">
        <v>105</v>
      </c>
      <c r="J16" s="8" t="s">
        <v>2900</v>
      </c>
      <c r="K16" s="8" t="s">
        <v>2901</v>
      </c>
      <c r="L16" s="8" t="s">
        <v>2902</v>
      </c>
      <c r="M16" s="8" t="s">
        <v>109</v>
      </c>
      <c r="N16" s="8" t="s">
        <v>110</v>
      </c>
      <c r="O16" s="9" t="s">
        <v>111</v>
      </c>
    </row>
    <row r="17" ht="28" spans="1:15">
      <c r="A17" s="10" t="s">
        <v>2903</v>
      </c>
      <c r="B17" s="11" t="s">
        <v>2904</v>
      </c>
      <c r="C17" s="11" t="s">
        <v>2905</v>
      </c>
      <c r="D17" s="11" t="s">
        <v>2906</v>
      </c>
      <c r="E17" s="11" t="s">
        <v>2907</v>
      </c>
      <c r="F17" s="11" t="s">
        <v>2908</v>
      </c>
      <c r="G17" s="11" t="s">
        <v>2909</v>
      </c>
      <c r="H17" s="11" t="s">
        <v>2910</v>
      </c>
      <c r="I17" s="11" t="s">
        <v>276</v>
      </c>
      <c r="J17" s="11" t="s">
        <v>947</v>
      </c>
      <c r="K17" s="11" t="s">
        <v>948</v>
      </c>
      <c r="L17" s="11" t="s">
        <v>949</v>
      </c>
      <c r="M17" s="11" t="s">
        <v>109</v>
      </c>
      <c r="N17" s="11" t="s">
        <v>110</v>
      </c>
      <c r="O17" s="12" t="s">
        <v>111</v>
      </c>
    </row>
    <row r="18" ht="55" spans="1:15">
      <c r="A18" s="7" t="s">
        <v>2911</v>
      </c>
      <c r="B18" s="8" t="s">
        <v>2912</v>
      </c>
      <c r="C18" s="8" t="s">
        <v>2913</v>
      </c>
      <c r="D18" s="8" t="s">
        <v>2914</v>
      </c>
      <c r="E18" s="8" t="s">
        <v>2915</v>
      </c>
      <c r="F18" s="8" t="s">
        <v>2916</v>
      </c>
      <c r="G18" s="8" t="s">
        <v>2917</v>
      </c>
      <c r="H18" s="8" t="s">
        <v>2918</v>
      </c>
      <c r="I18" s="8" t="s">
        <v>276</v>
      </c>
      <c r="J18" s="8" t="s">
        <v>1620</v>
      </c>
      <c r="K18" s="8" t="s">
        <v>599</v>
      </c>
      <c r="L18" s="8" t="s">
        <v>1621</v>
      </c>
      <c r="M18" s="8" t="s">
        <v>109</v>
      </c>
      <c r="N18" s="8" t="s">
        <v>110</v>
      </c>
      <c r="O18" s="9" t="s">
        <v>111</v>
      </c>
    </row>
    <row r="19" ht="28" spans="1:15">
      <c r="A19" s="10" t="s">
        <v>2919</v>
      </c>
      <c r="B19" s="11" t="s">
        <v>2920</v>
      </c>
      <c r="C19" s="11" t="s">
        <v>2921</v>
      </c>
      <c r="D19" s="11" t="s">
        <v>2922</v>
      </c>
      <c r="E19" s="11" t="s">
        <v>2923</v>
      </c>
      <c r="F19" s="11" t="s">
        <v>2916</v>
      </c>
      <c r="G19" s="11" t="s">
        <v>2924</v>
      </c>
      <c r="H19" s="11" t="s">
        <v>2925</v>
      </c>
      <c r="I19" s="11" t="s">
        <v>276</v>
      </c>
      <c r="J19" s="11" t="s">
        <v>2926</v>
      </c>
      <c r="K19" s="11" t="s">
        <v>2927</v>
      </c>
      <c r="L19" s="11" t="s">
        <v>2928</v>
      </c>
      <c r="M19" s="11" t="s">
        <v>121</v>
      </c>
      <c r="N19" s="11" t="s">
        <v>203</v>
      </c>
      <c r="O19" s="12" t="s">
        <v>111</v>
      </c>
    </row>
    <row r="20" ht="28" spans="1:15">
      <c r="A20" s="7" t="s">
        <v>2929</v>
      </c>
      <c r="B20" s="8" t="s">
        <v>2930</v>
      </c>
      <c r="C20" s="8" t="s">
        <v>2931</v>
      </c>
      <c r="D20" s="8" t="s">
        <v>2932</v>
      </c>
      <c r="E20" s="8" t="s">
        <v>2933</v>
      </c>
      <c r="F20" s="8" t="s">
        <v>2934</v>
      </c>
      <c r="G20" s="8" t="s">
        <v>2924</v>
      </c>
      <c r="H20" s="8" t="s">
        <v>2935</v>
      </c>
      <c r="I20" s="8" t="s">
        <v>276</v>
      </c>
      <c r="J20" s="8" t="s">
        <v>2936</v>
      </c>
      <c r="K20" s="8" t="s">
        <v>342</v>
      </c>
      <c r="L20" s="8" t="s">
        <v>2937</v>
      </c>
      <c r="M20" s="8" t="s">
        <v>109</v>
      </c>
      <c r="N20" s="8" t="s">
        <v>110</v>
      </c>
      <c r="O20" s="9" t="s">
        <v>111</v>
      </c>
    </row>
    <row r="21" spans="1:15">
      <c r="A21" s="10" t="s">
        <v>2938</v>
      </c>
      <c r="B21" s="11" t="s">
        <v>2939</v>
      </c>
      <c r="C21" s="11" t="s">
        <v>2940</v>
      </c>
      <c r="D21" s="11" t="s">
        <v>2941</v>
      </c>
      <c r="E21" s="11" t="s">
        <v>2942</v>
      </c>
      <c r="F21" s="11" t="s">
        <v>2943</v>
      </c>
      <c r="G21" s="11" t="s">
        <v>2944</v>
      </c>
      <c r="H21" s="11" t="s">
        <v>2945</v>
      </c>
      <c r="I21" s="11" t="s">
        <v>276</v>
      </c>
      <c r="J21" s="11" t="s">
        <v>1627</v>
      </c>
      <c r="K21" s="11" t="s">
        <v>342</v>
      </c>
      <c r="L21" s="11" t="s">
        <v>1628</v>
      </c>
      <c r="M21" s="11" t="s">
        <v>109</v>
      </c>
      <c r="N21" s="11" t="s">
        <v>110</v>
      </c>
      <c r="O21" s="12" t="s">
        <v>111</v>
      </c>
    </row>
    <row r="22" ht="28" spans="1:15">
      <c r="A22" s="7" t="s">
        <v>2946</v>
      </c>
      <c r="B22" s="8" t="s">
        <v>2947</v>
      </c>
      <c r="C22" s="8" t="s">
        <v>2948</v>
      </c>
      <c r="D22" s="8" t="s">
        <v>2949</v>
      </c>
      <c r="E22" s="8" t="s">
        <v>2950</v>
      </c>
      <c r="F22" s="8" t="s">
        <v>2951</v>
      </c>
      <c r="G22" s="8" t="s">
        <v>2952</v>
      </c>
      <c r="H22" s="8" t="s">
        <v>2953</v>
      </c>
      <c r="I22" s="8" t="s">
        <v>276</v>
      </c>
      <c r="J22" s="8" t="s">
        <v>1751</v>
      </c>
      <c r="K22" s="8" t="s">
        <v>1752</v>
      </c>
      <c r="L22" s="8" t="s">
        <v>1753</v>
      </c>
      <c r="M22" s="8" t="s">
        <v>109</v>
      </c>
      <c r="N22" s="8" t="s">
        <v>110</v>
      </c>
      <c r="O22" s="9" t="s">
        <v>111</v>
      </c>
    </row>
    <row r="23" ht="28" spans="1:15">
      <c r="A23" s="10" t="s">
        <v>2954</v>
      </c>
      <c r="B23" s="11" t="s">
        <v>2955</v>
      </c>
      <c r="C23" s="11" t="s">
        <v>2956</v>
      </c>
      <c r="D23" s="11" t="s">
        <v>2957</v>
      </c>
      <c r="E23" s="11" t="s">
        <v>2958</v>
      </c>
      <c r="F23" s="11" t="s">
        <v>2959</v>
      </c>
      <c r="G23" s="11" t="s">
        <v>2909</v>
      </c>
      <c r="H23" s="11" t="s">
        <v>2960</v>
      </c>
      <c r="I23" s="11" t="s">
        <v>276</v>
      </c>
      <c r="J23" s="11" t="s">
        <v>240</v>
      </c>
      <c r="K23" s="11" t="s">
        <v>241</v>
      </c>
      <c r="L23" s="11" t="s">
        <v>1252</v>
      </c>
      <c r="M23" s="11" t="s">
        <v>109</v>
      </c>
      <c r="N23" s="11" t="s">
        <v>110</v>
      </c>
      <c r="O23" s="12" t="s">
        <v>111</v>
      </c>
    </row>
    <row r="24" ht="41" spans="1:15">
      <c r="A24" s="7" t="s">
        <v>2961</v>
      </c>
      <c r="B24" s="8" t="s">
        <v>2962</v>
      </c>
      <c r="C24" s="8" t="s">
        <v>2963</v>
      </c>
      <c r="D24" s="8" t="s">
        <v>2964</v>
      </c>
      <c r="E24" s="8" t="s">
        <v>2965</v>
      </c>
      <c r="F24" s="8" t="s">
        <v>2966</v>
      </c>
      <c r="G24" s="8" t="s">
        <v>2944</v>
      </c>
      <c r="H24" s="8" t="s">
        <v>2967</v>
      </c>
      <c r="I24" s="8" t="s">
        <v>276</v>
      </c>
      <c r="J24" s="8" t="s">
        <v>350</v>
      </c>
      <c r="K24" s="8" t="s">
        <v>346</v>
      </c>
      <c r="L24" s="8" t="s">
        <v>1259</v>
      </c>
      <c r="M24" s="8" t="s">
        <v>121</v>
      </c>
      <c r="N24" s="8" t="s">
        <v>203</v>
      </c>
      <c r="O24" s="9" t="s">
        <v>111</v>
      </c>
    </row>
    <row r="25" spans="1:15">
      <c r="A25" s="10" t="s">
        <v>2968</v>
      </c>
      <c r="B25" s="11" t="s">
        <v>2969</v>
      </c>
      <c r="C25" s="11" t="s">
        <v>2970</v>
      </c>
      <c r="D25" s="11" t="s">
        <v>2971</v>
      </c>
      <c r="E25" s="11" t="s">
        <v>2972</v>
      </c>
      <c r="F25" s="11" t="s">
        <v>2973</v>
      </c>
      <c r="G25" s="11" t="s">
        <v>1049</v>
      </c>
      <c r="H25" s="11" t="s">
        <v>2974</v>
      </c>
      <c r="I25" s="11" t="s">
        <v>276</v>
      </c>
      <c r="J25" s="11" t="s">
        <v>1654</v>
      </c>
      <c r="K25" s="11" t="s">
        <v>1649</v>
      </c>
      <c r="L25" s="11" t="s">
        <v>1655</v>
      </c>
      <c r="M25" s="11" t="s">
        <v>109</v>
      </c>
      <c r="N25" s="11" t="s">
        <v>110</v>
      </c>
      <c r="O25" s="12" t="s">
        <v>111</v>
      </c>
    </row>
    <row r="26" ht="28" spans="1:15">
      <c r="A26" s="7" t="s">
        <v>2975</v>
      </c>
      <c r="B26" s="8" t="s">
        <v>2976</v>
      </c>
      <c r="C26" s="8" t="s">
        <v>2977</v>
      </c>
      <c r="D26" s="8" t="s">
        <v>2978</v>
      </c>
      <c r="E26" s="8" t="s">
        <v>2979</v>
      </c>
      <c r="F26" s="8" t="s">
        <v>2916</v>
      </c>
      <c r="G26" s="8" t="s">
        <v>2924</v>
      </c>
      <c r="H26" s="8" t="s">
        <v>2980</v>
      </c>
      <c r="I26" s="8" t="s">
        <v>276</v>
      </c>
      <c r="J26" s="8" t="s">
        <v>1780</v>
      </c>
      <c r="K26" s="8" t="s">
        <v>108</v>
      </c>
      <c r="L26" s="8" t="s">
        <v>1781</v>
      </c>
      <c r="M26" s="8" t="s">
        <v>109</v>
      </c>
      <c r="N26" s="8" t="s">
        <v>110</v>
      </c>
      <c r="O26" s="9" t="s">
        <v>111</v>
      </c>
    </row>
    <row r="27" ht="41" spans="1:15">
      <c r="A27" s="10" t="s">
        <v>2981</v>
      </c>
      <c r="B27" s="11" t="s">
        <v>2982</v>
      </c>
      <c r="C27" s="11" t="s">
        <v>2983</v>
      </c>
      <c r="D27" s="11" t="s">
        <v>2984</v>
      </c>
      <c r="E27" s="11" t="s">
        <v>2985</v>
      </c>
      <c r="F27" s="11" t="s">
        <v>2986</v>
      </c>
      <c r="G27" s="11" t="s">
        <v>2909</v>
      </c>
      <c r="H27" s="11" t="s">
        <v>2987</v>
      </c>
      <c r="I27" s="11" t="s">
        <v>276</v>
      </c>
      <c r="J27" s="11" t="s">
        <v>2988</v>
      </c>
      <c r="K27" s="11" t="s">
        <v>2989</v>
      </c>
      <c r="L27" s="11" t="s">
        <v>2990</v>
      </c>
      <c r="M27" s="11" t="s">
        <v>109</v>
      </c>
      <c r="N27" s="11" t="s">
        <v>110</v>
      </c>
      <c r="O27" s="12" t="s">
        <v>111</v>
      </c>
    </row>
    <row r="28" ht="28" spans="1:15">
      <c r="A28" s="16" t="s">
        <v>2991</v>
      </c>
      <c r="B28" s="17" t="s">
        <v>2992</v>
      </c>
      <c r="C28" s="17" t="s">
        <v>2993</v>
      </c>
      <c r="D28" s="17" t="s">
        <v>2994</v>
      </c>
      <c r="E28" s="17" t="s">
        <v>2995</v>
      </c>
      <c r="F28" s="17" t="s">
        <v>2996</v>
      </c>
      <c r="G28" s="17" t="s">
        <v>2944</v>
      </c>
      <c r="H28" s="17" t="s">
        <v>2997</v>
      </c>
      <c r="I28" s="17" t="s">
        <v>276</v>
      </c>
      <c r="J28" s="17" t="s">
        <v>607</v>
      </c>
      <c r="K28" s="17" t="s">
        <v>608</v>
      </c>
      <c r="L28" s="17" t="s">
        <v>609</v>
      </c>
      <c r="M28" s="17" t="s">
        <v>121</v>
      </c>
      <c r="N28" s="17" t="s">
        <v>110</v>
      </c>
      <c r="O28" s="18" t="s">
        <v>111</v>
      </c>
    </row>
  </sheetData>
  <mergeCells count="2">
    <mergeCell ref="A1:O1"/>
    <mergeCell ref="A2:O2"/>
  </mergeCells>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
  <sheetViews>
    <sheetView showGridLines="0" topLeftCell="A18" workbookViewId="0">
      <selection activeCell="A1" sqref="A1:P1"/>
    </sheetView>
  </sheetViews>
  <sheetFormatPr defaultColWidth="9" defaultRowHeight="16.8"/>
  <cols>
    <col min="1" max="1" width="10" customWidth="1"/>
    <col min="2" max="2" width="24" customWidth="1"/>
    <col min="3" max="3" width="32" customWidth="1"/>
    <col min="4" max="4" width="20" customWidth="1"/>
    <col min="5" max="5" width="14" customWidth="1"/>
    <col min="6" max="6" width="58" customWidth="1"/>
    <col min="7" max="7" width="18" customWidth="1"/>
    <col min="8" max="8" width="40" customWidth="1"/>
    <col min="9" max="9" width="48" customWidth="1"/>
    <col min="10" max="10" width="11" customWidth="1"/>
    <col min="11" max="11" width="12" customWidth="1"/>
    <col min="12" max="12" width="25" customWidth="1"/>
    <col min="13" max="13" width="44" customWidth="1"/>
    <col min="14" max="14" width="16" customWidth="1"/>
    <col min="15" max="15" width="10" customWidth="1"/>
    <col min="16" max="16" width="12" customWidth="1"/>
  </cols>
  <sheetData>
    <row r="1" ht="32" customHeight="1" spans="1:16">
      <c r="A1" s="1" t="s">
        <v>2998</v>
      </c>
      <c r="B1" s="1"/>
      <c r="C1" s="1"/>
      <c r="D1" s="1"/>
      <c r="E1" s="1"/>
      <c r="F1" s="1"/>
      <c r="G1" s="1"/>
      <c r="H1" s="1"/>
      <c r="I1" s="1"/>
      <c r="J1" s="1"/>
      <c r="K1" s="1"/>
      <c r="L1" s="1"/>
      <c r="M1" s="1"/>
      <c r="N1" s="1"/>
      <c r="O1" s="1"/>
      <c r="P1" s="1"/>
    </row>
    <row r="2" ht="34" customHeight="1" spans="1:16">
      <c r="A2" s="2" t="s">
        <v>2999</v>
      </c>
      <c r="B2" s="2"/>
      <c r="C2" s="2"/>
      <c r="D2" s="2"/>
      <c r="E2" s="2"/>
      <c r="F2" s="2"/>
      <c r="G2" s="2"/>
      <c r="H2" s="2"/>
      <c r="I2" s="2"/>
      <c r="J2" s="2"/>
      <c r="K2" s="2"/>
      <c r="L2" s="2"/>
      <c r="M2" s="2"/>
      <c r="N2" s="2"/>
      <c r="O2" s="2"/>
      <c r="P2" s="2"/>
    </row>
    <row r="4" ht="32" customHeight="1" spans="1:16">
      <c r="A4" s="3" t="s">
        <v>3000</v>
      </c>
      <c r="B4" s="3" t="s">
        <v>3001</v>
      </c>
      <c r="C4" s="3" t="s">
        <v>3002</v>
      </c>
      <c r="D4" s="3" t="s">
        <v>3003</v>
      </c>
      <c r="E4" s="3" t="s">
        <v>3004</v>
      </c>
      <c r="F4" s="3" t="s">
        <v>3005</v>
      </c>
      <c r="G4" s="3" t="s">
        <v>3006</v>
      </c>
      <c r="H4" s="3" t="s">
        <v>3007</v>
      </c>
      <c r="I4" s="3" t="s">
        <v>3008</v>
      </c>
      <c r="J4" s="3" t="s">
        <v>88</v>
      </c>
      <c r="K4" s="3" t="s">
        <v>90</v>
      </c>
      <c r="L4" s="3" t="s">
        <v>91</v>
      </c>
      <c r="M4" s="3" t="s">
        <v>372</v>
      </c>
      <c r="N4" s="3" t="s">
        <v>92</v>
      </c>
      <c r="O4" s="3" t="s">
        <v>93</v>
      </c>
      <c r="P4" s="3" t="s">
        <v>94</v>
      </c>
    </row>
    <row r="5" ht="55" spans="1:16">
      <c r="A5" s="4" t="s">
        <v>3009</v>
      </c>
      <c r="B5" s="5" t="s">
        <v>71</v>
      </c>
      <c r="C5" s="5" t="s">
        <v>3010</v>
      </c>
      <c r="D5" s="5" t="s">
        <v>3011</v>
      </c>
      <c r="E5" s="5" t="s">
        <v>1490</v>
      </c>
      <c r="F5" s="5" t="s">
        <v>3012</v>
      </c>
      <c r="G5" s="5" t="s">
        <v>561</v>
      </c>
      <c r="H5" s="5" t="s">
        <v>3013</v>
      </c>
      <c r="I5" s="5" t="s">
        <v>3014</v>
      </c>
      <c r="J5" s="5" t="s">
        <v>105</v>
      </c>
      <c r="K5" s="5" t="s">
        <v>563</v>
      </c>
      <c r="L5" s="5" t="s">
        <v>564</v>
      </c>
      <c r="M5" s="5" t="s">
        <v>565</v>
      </c>
      <c r="N5" s="5" t="s">
        <v>109</v>
      </c>
      <c r="O5" s="5" t="s">
        <v>203</v>
      </c>
      <c r="P5" s="6" t="s">
        <v>111</v>
      </c>
    </row>
    <row r="6" ht="28" spans="1:16">
      <c r="A6" s="7" t="s">
        <v>3015</v>
      </c>
      <c r="B6" s="8" t="s">
        <v>71</v>
      </c>
      <c r="C6" s="8" t="s">
        <v>3016</v>
      </c>
      <c r="D6" s="8" t="s">
        <v>3017</v>
      </c>
      <c r="E6" s="8" t="s">
        <v>1490</v>
      </c>
      <c r="F6" s="8" t="s">
        <v>3018</v>
      </c>
      <c r="G6" s="8" t="s">
        <v>3019</v>
      </c>
      <c r="H6" s="8" t="s">
        <v>3020</v>
      </c>
      <c r="I6" s="8" t="s">
        <v>3021</v>
      </c>
      <c r="J6" s="8" t="s">
        <v>105</v>
      </c>
      <c r="K6" s="8" t="s">
        <v>870</v>
      </c>
      <c r="L6" s="8" t="s">
        <v>871</v>
      </c>
      <c r="M6" s="8" t="s">
        <v>872</v>
      </c>
      <c r="N6" s="8" t="s">
        <v>109</v>
      </c>
      <c r="O6" s="8" t="s">
        <v>203</v>
      </c>
      <c r="P6" s="9" t="s">
        <v>111</v>
      </c>
    </row>
    <row r="7" spans="1:16">
      <c r="A7" s="10" t="s">
        <v>3022</v>
      </c>
      <c r="B7" s="11" t="s">
        <v>71</v>
      </c>
      <c r="C7" s="11" t="s">
        <v>3023</v>
      </c>
      <c r="D7" s="11" t="s">
        <v>3024</v>
      </c>
      <c r="E7" s="11" t="s">
        <v>1490</v>
      </c>
      <c r="F7" s="11" t="s">
        <v>3025</v>
      </c>
      <c r="G7" s="11" t="s">
        <v>561</v>
      </c>
      <c r="H7" s="11" t="s">
        <v>3026</v>
      </c>
      <c r="I7" s="11" t="s">
        <v>3027</v>
      </c>
      <c r="J7" s="11" t="s">
        <v>105</v>
      </c>
      <c r="K7" s="11" t="s">
        <v>3028</v>
      </c>
      <c r="L7" s="11" t="s">
        <v>3029</v>
      </c>
      <c r="M7" s="11" t="s">
        <v>3030</v>
      </c>
      <c r="N7" s="11" t="s">
        <v>109</v>
      </c>
      <c r="O7" s="11" t="s">
        <v>203</v>
      </c>
      <c r="P7" s="12" t="s">
        <v>111</v>
      </c>
    </row>
    <row r="8" ht="28" spans="1:16">
      <c r="A8" s="7" t="s">
        <v>3031</v>
      </c>
      <c r="B8" s="8" t="s">
        <v>3032</v>
      </c>
      <c r="C8" s="8" t="s">
        <v>3033</v>
      </c>
      <c r="D8" s="8" t="s">
        <v>3034</v>
      </c>
      <c r="E8" s="8" t="s">
        <v>1490</v>
      </c>
      <c r="F8" s="8" t="s">
        <v>3035</v>
      </c>
      <c r="G8" s="8" t="s">
        <v>3036</v>
      </c>
      <c r="H8" s="8" t="s">
        <v>3037</v>
      </c>
      <c r="I8" s="8" t="s">
        <v>3038</v>
      </c>
      <c r="J8" s="8" t="s">
        <v>105</v>
      </c>
      <c r="K8" s="8" t="s">
        <v>3039</v>
      </c>
      <c r="L8" s="8" t="s">
        <v>108</v>
      </c>
      <c r="M8" s="8" t="s">
        <v>3040</v>
      </c>
      <c r="N8" s="8" t="s">
        <v>109</v>
      </c>
      <c r="O8" s="8" t="s">
        <v>203</v>
      </c>
      <c r="P8" s="9" t="s">
        <v>111</v>
      </c>
    </row>
    <row r="9" ht="28" spans="1:16">
      <c r="A9" s="10" t="s">
        <v>3041</v>
      </c>
      <c r="B9" s="11" t="s">
        <v>71</v>
      </c>
      <c r="C9" s="11" t="s">
        <v>3042</v>
      </c>
      <c r="D9" s="11" t="s">
        <v>3043</v>
      </c>
      <c r="E9" s="11" t="s">
        <v>1490</v>
      </c>
      <c r="F9" s="11" t="s">
        <v>3044</v>
      </c>
      <c r="G9" s="11" t="s">
        <v>561</v>
      </c>
      <c r="H9" s="11" t="s">
        <v>3045</v>
      </c>
      <c r="I9" s="11" t="s">
        <v>3046</v>
      </c>
      <c r="J9" s="11" t="s">
        <v>105</v>
      </c>
      <c r="K9" s="11" t="s">
        <v>870</v>
      </c>
      <c r="L9" s="11" t="s">
        <v>871</v>
      </c>
      <c r="M9" s="11" t="s">
        <v>872</v>
      </c>
      <c r="N9" s="11" t="s">
        <v>109</v>
      </c>
      <c r="O9" s="11" t="s">
        <v>203</v>
      </c>
      <c r="P9" s="12" t="s">
        <v>111</v>
      </c>
    </row>
    <row r="10" ht="28" spans="1:16">
      <c r="A10" s="7" t="s">
        <v>3047</v>
      </c>
      <c r="B10" s="8" t="s">
        <v>71</v>
      </c>
      <c r="C10" s="8" t="s">
        <v>3048</v>
      </c>
      <c r="D10" s="8" t="s">
        <v>3049</v>
      </c>
      <c r="E10" s="8" t="s">
        <v>1490</v>
      </c>
      <c r="F10" s="8" t="s">
        <v>3050</v>
      </c>
      <c r="G10" s="8" t="s">
        <v>561</v>
      </c>
      <c r="H10" s="8" t="s">
        <v>3051</v>
      </c>
      <c r="I10" s="8" t="s">
        <v>3052</v>
      </c>
      <c r="J10" s="8" t="s">
        <v>105</v>
      </c>
      <c r="K10" s="8" t="s">
        <v>870</v>
      </c>
      <c r="L10" s="8" t="s">
        <v>871</v>
      </c>
      <c r="M10" s="8" t="s">
        <v>872</v>
      </c>
      <c r="N10" s="8" t="s">
        <v>109</v>
      </c>
      <c r="O10" s="8" t="s">
        <v>203</v>
      </c>
      <c r="P10" s="9" t="s">
        <v>111</v>
      </c>
    </row>
    <row r="11" ht="28" spans="1:16">
      <c r="A11" s="10" t="s">
        <v>3053</v>
      </c>
      <c r="B11" s="11" t="s">
        <v>3054</v>
      </c>
      <c r="C11" s="11" t="s">
        <v>3055</v>
      </c>
      <c r="D11" s="11" t="s">
        <v>3056</v>
      </c>
      <c r="E11" s="11" t="s">
        <v>1490</v>
      </c>
      <c r="F11" s="11" t="s">
        <v>3057</v>
      </c>
      <c r="G11" s="11" t="s">
        <v>3058</v>
      </c>
      <c r="H11" s="11" t="s">
        <v>3059</v>
      </c>
      <c r="I11" s="11" t="s">
        <v>3060</v>
      </c>
      <c r="J11" s="11" t="s">
        <v>105</v>
      </c>
      <c r="K11" s="11" t="s">
        <v>1502</v>
      </c>
      <c r="L11" s="11" t="s">
        <v>108</v>
      </c>
      <c r="M11" s="11" t="s">
        <v>1503</v>
      </c>
      <c r="N11" s="11" t="s">
        <v>109</v>
      </c>
      <c r="O11" s="11" t="s">
        <v>203</v>
      </c>
      <c r="P11" s="12" t="s">
        <v>111</v>
      </c>
    </row>
    <row r="12" ht="28" spans="1:16">
      <c r="A12" s="7" t="s">
        <v>3061</v>
      </c>
      <c r="B12" s="8" t="s">
        <v>3054</v>
      </c>
      <c r="C12" s="8" t="s">
        <v>3062</v>
      </c>
      <c r="D12" s="8" t="s">
        <v>3063</v>
      </c>
      <c r="E12" s="8" t="s">
        <v>1490</v>
      </c>
      <c r="F12" s="8" t="s">
        <v>3064</v>
      </c>
      <c r="G12" s="8" t="s">
        <v>3065</v>
      </c>
      <c r="H12" s="8" t="s">
        <v>3066</v>
      </c>
      <c r="I12" s="8" t="s">
        <v>3067</v>
      </c>
      <c r="J12" s="8" t="s">
        <v>105</v>
      </c>
      <c r="K12" s="8" t="s">
        <v>1527</v>
      </c>
      <c r="L12" s="8" t="s">
        <v>505</v>
      </c>
      <c r="M12" s="8" t="s">
        <v>1528</v>
      </c>
      <c r="N12" s="8" t="s">
        <v>109</v>
      </c>
      <c r="O12" s="8" t="s">
        <v>203</v>
      </c>
      <c r="P12" s="9" t="s">
        <v>111</v>
      </c>
    </row>
    <row r="13" ht="28" spans="1:16">
      <c r="A13" s="10" t="s">
        <v>3068</v>
      </c>
      <c r="B13" s="11" t="s">
        <v>3054</v>
      </c>
      <c r="C13" s="11" t="s">
        <v>3069</v>
      </c>
      <c r="D13" s="11" t="s">
        <v>3070</v>
      </c>
      <c r="E13" s="11" t="s">
        <v>3071</v>
      </c>
      <c r="F13" s="11" t="s">
        <v>3072</v>
      </c>
      <c r="G13" s="11" t="s">
        <v>3073</v>
      </c>
      <c r="H13" s="11" t="s">
        <v>3074</v>
      </c>
      <c r="I13" s="11" t="s">
        <v>3075</v>
      </c>
      <c r="J13" s="11" t="s">
        <v>105</v>
      </c>
      <c r="K13" s="11" t="s">
        <v>1308</v>
      </c>
      <c r="L13" s="11" t="s">
        <v>108</v>
      </c>
      <c r="M13" s="11" t="s">
        <v>1309</v>
      </c>
      <c r="N13" s="11" t="s">
        <v>109</v>
      </c>
      <c r="O13" s="11" t="s">
        <v>203</v>
      </c>
      <c r="P13" s="12" t="s">
        <v>111</v>
      </c>
    </row>
    <row r="14" ht="28" spans="1:16">
      <c r="A14" s="7" t="s">
        <v>3076</v>
      </c>
      <c r="B14" s="8" t="s">
        <v>3054</v>
      </c>
      <c r="C14" s="8" t="s">
        <v>1188</v>
      </c>
      <c r="D14" s="8" t="s">
        <v>3077</v>
      </c>
      <c r="E14" s="8" t="s">
        <v>2507</v>
      </c>
      <c r="F14" s="8" t="s">
        <v>3078</v>
      </c>
      <c r="G14" s="8" t="s">
        <v>3079</v>
      </c>
      <c r="H14" s="8" t="s">
        <v>3080</v>
      </c>
      <c r="I14" s="8" t="s">
        <v>3081</v>
      </c>
      <c r="J14" s="8" t="s">
        <v>105</v>
      </c>
      <c r="K14" s="8" t="s">
        <v>1487</v>
      </c>
      <c r="L14" s="8" t="s">
        <v>1323</v>
      </c>
      <c r="M14" s="8" t="s">
        <v>1488</v>
      </c>
      <c r="N14" s="8" t="s">
        <v>109</v>
      </c>
      <c r="O14" s="8" t="s">
        <v>203</v>
      </c>
      <c r="P14" s="9" t="s">
        <v>111</v>
      </c>
    </row>
    <row r="15" ht="28" spans="1:16">
      <c r="A15" s="10" t="s">
        <v>3082</v>
      </c>
      <c r="B15" s="11" t="s">
        <v>3054</v>
      </c>
      <c r="C15" s="11" t="s">
        <v>3083</v>
      </c>
      <c r="D15" s="11" t="s">
        <v>3084</v>
      </c>
      <c r="E15" s="11" t="s">
        <v>1490</v>
      </c>
      <c r="F15" s="11" t="s">
        <v>3085</v>
      </c>
      <c r="G15" s="11" t="s">
        <v>3086</v>
      </c>
      <c r="H15" s="11" t="s">
        <v>3087</v>
      </c>
      <c r="I15" s="11" t="s">
        <v>3088</v>
      </c>
      <c r="J15" s="11" t="s">
        <v>105</v>
      </c>
      <c r="K15" s="11" t="s">
        <v>3089</v>
      </c>
      <c r="L15" s="11" t="s">
        <v>3090</v>
      </c>
      <c r="M15" s="11" t="s">
        <v>3091</v>
      </c>
      <c r="N15" s="11" t="s">
        <v>109</v>
      </c>
      <c r="O15" s="11" t="s">
        <v>203</v>
      </c>
      <c r="P15" s="12" t="s">
        <v>111</v>
      </c>
    </row>
    <row r="16" spans="1:16">
      <c r="A16" s="7" t="s">
        <v>3092</v>
      </c>
      <c r="B16" s="8" t="s">
        <v>3093</v>
      </c>
      <c r="C16" s="8" t="s">
        <v>3094</v>
      </c>
      <c r="D16" s="8" t="s">
        <v>3095</v>
      </c>
      <c r="E16" s="8" t="s">
        <v>1312</v>
      </c>
      <c r="F16" s="8" t="s">
        <v>3096</v>
      </c>
      <c r="G16" s="8" t="s">
        <v>561</v>
      </c>
      <c r="H16" s="8" t="s">
        <v>3097</v>
      </c>
      <c r="I16" s="8" t="s">
        <v>3098</v>
      </c>
      <c r="J16" s="8" t="s">
        <v>105</v>
      </c>
      <c r="K16" s="8" t="s">
        <v>119</v>
      </c>
      <c r="L16" s="8" t="s">
        <v>120</v>
      </c>
      <c r="M16" s="8" t="s">
        <v>1316</v>
      </c>
      <c r="N16" s="8" t="s">
        <v>121</v>
      </c>
      <c r="O16" s="8" t="s">
        <v>203</v>
      </c>
      <c r="P16" s="9" t="s">
        <v>111</v>
      </c>
    </row>
    <row r="17" ht="28" spans="1:16">
      <c r="A17" s="10" t="s">
        <v>3099</v>
      </c>
      <c r="B17" s="11" t="s">
        <v>3093</v>
      </c>
      <c r="C17" s="11" t="s">
        <v>3100</v>
      </c>
      <c r="D17" s="11" t="s">
        <v>3101</v>
      </c>
      <c r="E17" s="11" t="s">
        <v>1318</v>
      </c>
      <c r="F17" s="11" t="s">
        <v>3102</v>
      </c>
      <c r="G17" s="11" t="s">
        <v>3103</v>
      </c>
      <c r="H17" s="11" t="s">
        <v>3104</v>
      </c>
      <c r="I17" s="11" t="s">
        <v>3105</v>
      </c>
      <c r="J17" s="11" t="s">
        <v>105</v>
      </c>
      <c r="K17" s="11" t="s">
        <v>1322</v>
      </c>
      <c r="L17" s="11" t="s">
        <v>1323</v>
      </c>
      <c r="M17" s="11" t="s">
        <v>1324</v>
      </c>
      <c r="N17" s="11" t="s">
        <v>109</v>
      </c>
      <c r="O17" s="11" t="s">
        <v>203</v>
      </c>
      <c r="P17" s="12" t="s">
        <v>111</v>
      </c>
    </row>
    <row r="18" ht="28" spans="1:16">
      <c r="A18" s="7" t="s">
        <v>3106</v>
      </c>
      <c r="B18" s="8" t="s">
        <v>3093</v>
      </c>
      <c r="C18" s="8" t="s">
        <v>3107</v>
      </c>
      <c r="D18" s="8" t="s">
        <v>3108</v>
      </c>
      <c r="E18" s="8" t="s">
        <v>3109</v>
      </c>
      <c r="F18" s="8" t="s">
        <v>3110</v>
      </c>
      <c r="G18" s="8" t="s">
        <v>3111</v>
      </c>
      <c r="H18" s="8" t="s">
        <v>3112</v>
      </c>
      <c r="I18" s="8" t="s">
        <v>3113</v>
      </c>
      <c r="J18" s="8" t="s">
        <v>105</v>
      </c>
      <c r="K18" s="8" t="s">
        <v>1330</v>
      </c>
      <c r="L18" s="8" t="s">
        <v>1331</v>
      </c>
      <c r="M18" s="8" t="s">
        <v>1332</v>
      </c>
      <c r="N18" s="8" t="s">
        <v>109</v>
      </c>
      <c r="O18" s="8" t="s">
        <v>203</v>
      </c>
      <c r="P18" s="9" t="s">
        <v>111</v>
      </c>
    </row>
    <row r="19" spans="1:16">
      <c r="A19" s="10" t="s">
        <v>3114</v>
      </c>
      <c r="B19" s="11" t="s">
        <v>71</v>
      </c>
      <c r="C19" s="11" t="s">
        <v>3115</v>
      </c>
      <c r="D19" s="11" t="s">
        <v>3116</v>
      </c>
      <c r="E19" s="11" t="s">
        <v>1490</v>
      </c>
      <c r="F19" s="11" t="s">
        <v>3117</v>
      </c>
      <c r="G19" s="11" t="s">
        <v>3118</v>
      </c>
      <c r="H19" s="11" t="s">
        <v>3119</v>
      </c>
      <c r="I19" s="11" t="s">
        <v>3120</v>
      </c>
      <c r="J19" s="11" t="s">
        <v>276</v>
      </c>
      <c r="K19" s="11" t="s">
        <v>3121</v>
      </c>
      <c r="L19" s="11" t="s">
        <v>3029</v>
      </c>
      <c r="M19" s="11" t="s">
        <v>3030</v>
      </c>
      <c r="N19" s="11" t="s">
        <v>109</v>
      </c>
      <c r="O19" s="11" t="s">
        <v>203</v>
      </c>
      <c r="P19" s="12" t="s">
        <v>111</v>
      </c>
    </row>
    <row r="20" ht="28" spans="1:16">
      <c r="A20" s="7" t="s">
        <v>3122</v>
      </c>
      <c r="B20" s="8" t="s">
        <v>71</v>
      </c>
      <c r="C20" s="8" t="s">
        <v>3123</v>
      </c>
      <c r="D20" s="8" t="s">
        <v>3034</v>
      </c>
      <c r="E20" s="8" t="s">
        <v>3124</v>
      </c>
      <c r="F20" s="8" t="s">
        <v>3125</v>
      </c>
      <c r="G20" s="8" t="s">
        <v>3036</v>
      </c>
      <c r="H20" s="8" t="s">
        <v>3126</v>
      </c>
      <c r="I20" s="8" t="s">
        <v>3127</v>
      </c>
      <c r="J20" s="8" t="s">
        <v>276</v>
      </c>
      <c r="K20" s="8" t="s">
        <v>3128</v>
      </c>
      <c r="L20" s="8" t="s">
        <v>108</v>
      </c>
      <c r="M20" s="8" t="s">
        <v>3129</v>
      </c>
      <c r="N20" s="8" t="s">
        <v>109</v>
      </c>
      <c r="O20" s="8" t="s">
        <v>203</v>
      </c>
      <c r="P20" s="9" t="s">
        <v>111</v>
      </c>
    </row>
    <row r="21" ht="28" spans="1:16">
      <c r="A21" s="10" t="s">
        <v>3130</v>
      </c>
      <c r="B21" s="11" t="s">
        <v>71</v>
      </c>
      <c r="C21" s="11" t="s">
        <v>3131</v>
      </c>
      <c r="D21" s="11" t="s">
        <v>3132</v>
      </c>
      <c r="E21" s="11" t="s">
        <v>1490</v>
      </c>
      <c r="F21" s="11" t="s">
        <v>3133</v>
      </c>
      <c r="G21" s="11" t="s">
        <v>3134</v>
      </c>
      <c r="H21" s="11" t="s">
        <v>3135</v>
      </c>
      <c r="I21" s="11" t="s">
        <v>3136</v>
      </c>
      <c r="J21" s="11" t="s">
        <v>276</v>
      </c>
      <c r="K21" s="11" t="s">
        <v>3137</v>
      </c>
      <c r="L21" s="11" t="s">
        <v>3138</v>
      </c>
      <c r="M21" s="11" t="s">
        <v>3139</v>
      </c>
      <c r="N21" s="11" t="s">
        <v>109</v>
      </c>
      <c r="O21" s="11" t="s">
        <v>203</v>
      </c>
      <c r="P21" s="12" t="s">
        <v>111</v>
      </c>
    </row>
    <row r="22" ht="28" spans="1:16">
      <c r="A22" s="7" t="s">
        <v>3140</v>
      </c>
      <c r="B22" s="8" t="s">
        <v>71</v>
      </c>
      <c r="C22" s="8" t="s">
        <v>3141</v>
      </c>
      <c r="D22" s="8" t="s">
        <v>3142</v>
      </c>
      <c r="E22" s="8" t="s">
        <v>1490</v>
      </c>
      <c r="F22" s="8" t="s">
        <v>3143</v>
      </c>
      <c r="G22" s="8" t="s">
        <v>3144</v>
      </c>
      <c r="H22" s="8" t="s">
        <v>3145</v>
      </c>
      <c r="I22" s="8" t="s">
        <v>3146</v>
      </c>
      <c r="J22" s="8" t="s">
        <v>276</v>
      </c>
      <c r="K22" s="8" t="s">
        <v>3147</v>
      </c>
      <c r="L22" s="8" t="s">
        <v>871</v>
      </c>
      <c r="M22" s="8" t="s">
        <v>872</v>
      </c>
      <c r="N22" s="8" t="s">
        <v>109</v>
      </c>
      <c r="O22" s="8" t="s">
        <v>203</v>
      </c>
      <c r="P22" s="9" t="s">
        <v>111</v>
      </c>
    </row>
    <row r="23" ht="28" spans="1:16">
      <c r="A23" s="10" t="s">
        <v>3148</v>
      </c>
      <c r="B23" s="11" t="s">
        <v>3054</v>
      </c>
      <c r="C23" s="11" t="s">
        <v>1188</v>
      </c>
      <c r="D23" s="11" t="s">
        <v>2509</v>
      </c>
      <c r="E23" s="11" t="s">
        <v>1490</v>
      </c>
      <c r="F23" s="11" t="s">
        <v>3149</v>
      </c>
      <c r="G23" s="11" t="s">
        <v>3150</v>
      </c>
      <c r="H23" s="11" t="s">
        <v>3151</v>
      </c>
      <c r="I23" s="11" t="s">
        <v>3152</v>
      </c>
      <c r="J23" s="11" t="s">
        <v>276</v>
      </c>
      <c r="K23" s="11" t="s">
        <v>1234</v>
      </c>
      <c r="L23" s="11" t="s">
        <v>1235</v>
      </c>
      <c r="M23" s="11" t="s">
        <v>1236</v>
      </c>
      <c r="N23" s="11" t="s">
        <v>109</v>
      </c>
      <c r="O23" s="11" t="s">
        <v>203</v>
      </c>
      <c r="P23" s="12" t="s">
        <v>111</v>
      </c>
    </row>
    <row r="24" ht="28" spans="1:16">
      <c r="A24" s="7" t="s">
        <v>3153</v>
      </c>
      <c r="B24" s="8" t="s">
        <v>3054</v>
      </c>
      <c r="C24" s="8" t="s">
        <v>992</v>
      </c>
      <c r="D24" s="8" t="s">
        <v>3154</v>
      </c>
      <c r="E24" s="8" t="s">
        <v>1490</v>
      </c>
      <c r="F24" s="8" t="s">
        <v>3155</v>
      </c>
      <c r="G24" s="8" t="s">
        <v>3156</v>
      </c>
      <c r="H24" s="8" t="s">
        <v>3157</v>
      </c>
      <c r="I24" s="8" t="s">
        <v>3158</v>
      </c>
      <c r="J24" s="8" t="s">
        <v>276</v>
      </c>
      <c r="K24" s="8" t="s">
        <v>995</v>
      </c>
      <c r="L24" s="8" t="s">
        <v>996</v>
      </c>
      <c r="M24" s="8" t="s">
        <v>997</v>
      </c>
      <c r="N24" s="8" t="s">
        <v>109</v>
      </c>
      <c r="O24" s="8" t="s">
        <v>203</v>
      </c>
      <c r="P24" s="9" t="s">
        <v>111</v>
      </c>
    </row>
    <row r="25" ht="28" spans="1:16">
      <c r="A25" s="10" t="s">
        <v>3159</v>
      </c>
      <c r="B25" s="11" t="s">
        <v>3160</v>
      </c>
      <c r="C25" s="11" t="s">
        <v>999</v>
      </c>
      <c r="D25" s="11" t="s">
        <v>3161</v>
      </c>
      <c r="E25" s="11" t="s">
        <v>1476</v>
      </c>
      <c r="F25" s="11" t="s">
        <v>3162</v>
      </c>
      <c r="G25" s="11" t="s">
        <v>3163</v>
      </c>
      <c r="H25" s="11" t="s">
        <v>3164</v>
      </c>
      <c r="I25" s="11" t="s">
        <v>3165</v>
      </c>
      <c r="J25" s="11" t="s">
        <v>276</v>
      </c>
      <c r="K25" s="11" t="s">
        <v>995</v>
      </c>
      <c r="L25" s="11" t="s">
        <v>996</v>
      </c>
      <c r="M25" s="11" t="s">
        <v>997</v>
      </c>
      <c r="N25" s="11" t="s">
        <v>109</v>
      </c>
      <c r="O25" s="11" t="s">
        <v>203</v>
      </c>
      <c r="P25" s="12" t="s">
        <v>111</v>
      </c>
    </row>
    <row r="26" ht="55" spans="1:16">
      <c r="A26" s="7" t="s">
        <v>3166</v>
      </c>
      <c r="B26" s="8" t="s">
        <v>3054</v>
      </c>
      <c r="C26" s="8" t="s">
        <v>3167</v>
      </c>
      <c r="D26" s="8" t="s">
        <v>3168</v>
      </c>
      <c r="E26" s="8" t="s">
        <v>1490</v>
      </c>
      <c r="F26" s="8" t="s">
        <v>3169</v>
      </c>
      <c r="G26" s="8" t="s">
        <v>3170</v>
      </c>
      <c r="H26" s="8" t="s">
        <v>3171</v>
      </c>
      <c r="I26" s="8" t="s">
        <v>3172</v>
      </c>
      <c r="J26" s="8" t="s">
        <v>276</v>
      </c>
      <c r="K26" s="8" t="s">
        <v>3173</v>
      </c>
      <c r="L26" s="8" t="s">
        <v>3174</v>
      </c>
      <c r="M26" s="8" t="s">
        <v>3175</v>
      </c>
      <c r="N26" s="8" t="s">
        <v>109</v>
      </c>
      <c r="O26" s="8" t="s">
        <v>110</v>
      </c>
      <c r="P26" s="9" t="s">
        <v>111</v>
      </c>
    </row>
    <row r="27" ht="28" spans="1:16">
      <c r="A27" s="10" t="s">
        <v>3176</v>
      </c>
      <c r="B27" s="11" t="s">
        <v>3177</v>
      </c>
      <c r="C27" s="11" t="s">
        <v>3178</v>
      </c>
      <c r="D27" s="11" t="s">
        <v>3179</v>
      </c>
      <c r="E27" s="11" t="s">
        <v>1312</v>
      </c>
      <c r="F27" s="11" t="s">
        <v>3180</v>
      </c>
      <c r="G27" s="11" t="s">
        <v>3181</v>
      </c>
      <c r="H27" s="11" t="s">
        <v>3182</v>
      </c>
      <c r="I27" s="11" t="s">
        <v>3183</v>
      </c>
      <c r="J27" s="11" t="s">
        <v>276</v>
      </c>
      <c r="K27" s="11" t="s">
        <v>989</v>
      </c>
      <c r="L27" s="11" t="s">
        <v>108</v>
      </c>
      <c r="M27" s="11" t="s">
        <v>990</v>
      </c>
      <c r="N27" s="11" t="s">
        <v>121</v>
      </c>
      <c r="O27" s="11" t="s">
        <v>203</v>
      </c>
      <c r="P27" s="12" t="s">
        <v>111</v>
      </c>
    </row>
    <row r="28" ht="55" spans="1:16">
      <c r="A28" s="7" t="s">
        <v>3184</v>
      </c>
      <c r="B28" s="8" t="s">
        <v>3177</v>
      </c>
      <c r="C28" s="8" t="s">
        <v>3185</v>
      </c>
      <c r="D28" s="8" t="s">
        <v>3186</v>
      </c>
      <c r="E28" s="8" t="s">
        <v>3187</v>
      </c>
      <c r="F28" s="8" t="s">
        <v>3188</v>
      </c>
      <c r="G28" s="8" t="s">
        <v>3189</v>
      </c>
      <c r="H28" s="8" t="s">
        <v>3190</v>
      </c>
      <c r="I28" s="8" t="s">
        <v>3191</v>
      </c>
      <c r="J28" s="8" t="s">
        <v>276</v>
      </c>
      <c r="K28" s="8" t="s">
        <v>3192</v>
      </c>
      <c r="L28" s="8" t="s">
        <v>2237</v>
      </c>
      <c r="M28" s="8" t="s">
        <v>3193</v>
      </c>
      <c r="N28" s="8" t="s">
        <v>109</v>
      </c>
      <c r="O28" s="8" t="s">
        <v>203</v>
      </c>
      <c r="P28" s="9" t="s">
        <v>111</v>
      </c>
    </row>
    <row r="29" ht="28" spans="1:16">
      <c r="A29" s="10" t="s">
        <v>3194</v>
      </c>
      <c r="B29" s="11" t="s">
        <v>3177</v>
      </c>
      <c r="C29" s="11" t="s">
        <v>3195</v>
      </c>
      <c r="D29" s="11" t="s">
        <v>3196</v>
      </c>
      <c r="E29" s="11" t="s">
        <v>1326</v>
      </c>
      <c r="F29" s="11" t="s">
        <v>3197</v>
      </c>
      <c r="G29" s="11" t="s">
        <v>3198</v>
      </c>
      <c r="H29" s="11" t="s">
        <v>3199</v>
      </c>
      <c r="I29" s="11" t="s">
        <v>3200</v>
      </c>
      <c r="J29" s="11" t="s">
        <v>276</v>
      </c>
      <c r="K29" s="11" t="s">
        <v>989</v>
      </c>
      <c r="L29" s="11" t="s">
        <v>108</v>
      </c>
      <c r="M29" s="11" t="s">
        <v>990</v>
      </c>
      <c r="N29" s="11" t="s">
        <v>121</v>
      </c>
      <c r="O29" s="11" t="s">
        <v>203</v>
      </c>
      <c r="P29" s="12" t="s">
        <v>111</v>
      </c>
    </row>
    <row r="30" ht="28" spans="1:16">
      <c r="A30" s="16" t="s">
        <v>3201</v>
      </c>
      <c r="B30" s="17" t="s">
        <v>3054</v>
      </c>
      <c r="C30" s="17" t="s">
        <v>3202</v>
      </c>
      <c r="D30" s="17" t="s">
        <v>3203</v>
      </c>
      <c r="E30" s="17" t="s">
        <v>3204</v>
      </c>
      <c r="F30" s="17" t="s">
        <v>3205</v>
      </c>
      <c r="G30" s="17" t="s">
        <v>3206</v>
      </c>
      <c r="H30" s="17" t="s">
        <v>3207</v>
      </c>
      <c r="I30" s="17" t="s">
        <v>3208</v>
      </c>
      <c r="J30" s="17" t="s">
        <v>276</v>
      </c>
      <c r="K30" s="17" t="s">
        <v>1751</v>
      </c>
      <c r="L30" s="17" t="s">
        <v>1752</v>
      </c>
      <c r="M30" s="17" t="s">
        <v>1753</v>
      </c>
      <c r="N30" s="17" t="s">
        <v>109</v>
      </c>
      <c r="O30" s="17" t="s">
        <v>203</v>
      </c>
      <c r="P30" s="18" t="s">
        <v>111</v>
      </c>
    </row>
  </sheetData>
  <mergeCells count="2">
    <mergeCell ref="A1:P1"/>
    <mergeCell ref="A2:P2"/>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6"/>
  <sheetViews>
    <sheetView showGridLines="0" zoomScale="87" zoomScaleNormal="87" topLeftCell="A15" workbookViewId="0">
      <selection activeCell="A1" sqref="A1:R1"/>
    </sheetView>
  </sheetViews>
  <sheetFormatPr defaultColWidth="9" defaultRowHeight="16.8"/>
  <cols>
    <col min="1" max="1" width="10" customWidth="1"/>
    <col min="2" max="2" width="28" customWidth="1"/>
    <col min="3" max="11" width="12" customWidth="1"/>
    <col min="12" max="12" width="20" customWidth="1"/>
    <col min="20" max="20" width="12" customWidth="1"/>
    <col min="21" max="21" width="18" customWidth="1"/>
    <col min="22" max="22" width="44" customWidth="1"/>
  </cols>
  <sheetData>
    <row r="1" ht="32" customHeight="1" spans="1:22">
      <c r="A1" s="20" t="s">
        <v>3209</v>
      </c>
      <c r="B1" s="20"/>
      <c r="C1" s="20"/>
      <c r="D1" s="20"/>
      <c r="E1" s="20"/>
      <c r="F1" s="20"/>
      <c r="G1" s="20"/>
      <c r="H1" s="20"/>
      <c r="I1" s="20"/>
      <c r="J1" s="20"/>
      <c r="K1" s="20"/>
      <c r="L1" s="20"/>
      <c r="M1" s="20"/>
      <c r="N1" s="20"/>
      <c r="O1" s="20"/>
      <c r="P1" s="20"/>
      <c r="Q1" s="20"/>
      <c r="R1" s="20"/>
    </row>
    <row r="2" ht="28" customHeight="1" spans="1:22">
      <c r="A2" s="21" t="s">
        <v>3210</v>
      </c>
      <c r="B2" s="21"/>
      <c r="C2" s="21"/>
      <c r="D2" s="21"/>
      <c r="E2" s="21"/>
      <c r="F2" s="21"/>
      <c r="G2" s="21"/>
      <c r="H2" s="21"/>
      <c r="I2" s="21"/>
      <c r="J2" s="21"/>
      <c r="K2" s="21"/>
      <c r="L2" s="21"/>
      <c r="M2" s="21"/>
      <c r="N2" s="21"/>
      <c r="O2" s="21"/>
      <c r="P2" s="21"/>
      <c r="Q2" s="21"/>
      <c r="R2" s="21"/>
    </row>
    <row r="4" spans="1:22">
      <c r="A4" s="45" t="s">
        <v>3211</v>
      </c>
      <c r="B4" s="45"/>
      <c r="C4" s="45"/>
      <c r="D4" s="45"/>
      <c r="E4" s="45"/>
      <c r="F4" s="45"/>
    </row>
    <row r="5" ht="38" customHeight="1" spans="1:22">
      <c r="A5" s="46" t="s">
        <v>3212</v>
      </c>
      <c r="B5" s="46" t="s">
        <v>3213</v>
      </c>
      <c r="C5" s="46" t="s">
        <v>3214</v>
      </c>
      <c r="E5" s="22" t="s">
        <v>3215</v>
      </c>
      <c r="F5" s="22" t="s">
        <v>3216</v>
      </c>
      <c r="G5" s="22" t="s">
        <v>3217</v>
      </c>
      <c r="H5" s="22" t="s">
        <v>3218</v>
      </c>
      <c r="I5" s="22" t="s">
        <v>3219</v>
      </c>
      <c r="J5" s="22" t="s">
        <v>3220</v>
      </c>
      <c r="K5" s="22" t="s">
        <v>3221</v>
      </c>
      <c r="L5" s="22" t="s">
        <v>3222</v>
      </c>
      <c r="M5" s="22" t="s">
        <v>3223</v>
      </c>
      <c r="N5" s="22" t="s">
        <v>3224</v>
      </c>
      <c r="O5" s="22" t="s">
        <v>3225</v>
      </c>
      <c r="P5" s="22" t="s">
        <v>3226</v>
      </c>
      <c r="Q5" s="22" t="s">
        <v>3227</v>
      </c>
      <c r="R5" s="22" t="s">
        <v>3228</v>
      </c>
      <c r="S5" s="22" t="s">
        <v>3229</v>
      </c>
      <c r="T5" s="22" t="s">
        <v>3230</v>
      </c>
      <c r="U5" s="22" t="s">
        <v>3231</v>
      </c>
      <c r="V5" s="22" t="s">
        <v>3232</v>
      </c>
    </row>
    <row r="6" ht="41" spans="1:22">
      <c r="A6" s="47" t="s">
        <v>3216</v>
      </c>
      <c r="B6" s="48">
        <v>12</v>
      </c>
      <c r="C6" s="49" t="s">
        <v>3233</v>
      </c>
      <c r="E6" s="47" t="s">
        <v>185</v>
      </c>
      <c r="F6" s="48">
        <v>4.6</v>
      </c>
      <c r="G6" s="48">
        <v>4.5</v>
      </c>
      <c r="H6" s="48">
        <v>4.1</v>
      </c>
      <c r="I6" s="48">
        <v>4.2</v>
      </c>
      <c r="J6" s="48">
        <v>3.4</v>
      </c>
      <c r="K6" s="48">
        <v>4.3</v>
      </c>
      <c r="L6" s="48">
        <v>3.2</v>
      </c>
      <c r="M6" s="48">
        <v>4.2</v>
      </c>
      <c r="N6" s="48">
        <v>3.7</v>
      </c>
      <c r="O6" s="48">
        <v>4.6</v>
      </c>
      <c r="P6" s="48">
        <v>4.6</v>
      </c>
      <c r="Q6" s="48">
        <v>4.2</v>
      </c>
      <c r="R6" s="48">
        <v>3.7</v>
      </c>
      <c r="S6" s="48">
        <v>3.7</v>
      </c>
      <c r="T6" s="50">
        <f>ROUND((F6*$B$6+G6*$B$7+H6*$B$8+I6*$B$9+J6*$B$10+K6*$B$11+L6*$B$12+M6*$B$13+N6*$B$14+O6*$B$15+P6*$B$16+Q6*$B$17+R6*$B$18+S6*$B$19)/5,1)</f>
        <v>82.8</v>
      </c>
      <c r="U6" s="48" t="s">
        <v>3234</v>
      </c>
      <c r="V6" s="49" t="s">
        <v>3235</v>
      </c>
    </row>
    <row r="7" ht="41" spans="1:22">
      <c r="A7" s="51" t="s">
        <v>3217</v>
      </c>
      <c r="B7" s="52">
        <v>8</v>
      </c>
      <c r="C7" s="53" t="s">
        <v>3236</v>
      </c>
      <c r="E7" s="51" t="s">
        <v>194</v>
      </c>
      <c r="F7" s="52">
        <v>4.9</v>
      </c>
      <c r="G7" s="52">
        <v>4.6</v>
      </c>
      <c r="H7" s="52">
        <v>3</v>
      </c>
      <c r="I7" s="52">
        <v>2.8</v>
      </c>
      <c r="J7" s="52">
        <v>3.2</v>
      </c>
      <c r="K7" s="52">
        <v>3.6</v>
      </c>
      <c r="L7" s="52">
        <v>2.7</v>
      </c>
      <c r="M7" s="52">
        <v>3.2</v>
      </c>
      <c r="N7" s="52">
        <v>4.6</v>
      </c>
      <c r="O7" s="52">
        <v>4.8</v>
      </c>
      <c r="P7" s="52">
        <v>4.4</v>
      </c>
      <c r="Q7" s="52">
        <v>3.3</v>
      </c>
      <c r="R7" s="52">
        <v>3.6</v>
      </c>
      <c r="S7" s="52">
        <v>2.6</v>
      </c>
      <c r="T7" s="54">
        <f>ROUND((F7*$B$6+G7*$B$7+H7*$B$8+I7*$B$9+J7*$B$10+K7*$B$11+L7*$B$12+M7*$B$13+N7*$B$14+O7*$B$15+P7*$B$16+Q7*$B$17+R7*$B$18+S7*$B$19)/5,1)</f>
        <v>75.3</v>
      </c>
      <c r="U7" s="52" t="s">
        <v>3237</v>
      </c>
      <c r="V7" s="53" t="s">
        <v>3238</v>
      </c>
    </row>
    <row r="8" ht="28" spans="1:22">
      <c r="A8" s="51" t="s">
        <v>3218</v>
      </c>
      <c r="B8" s="52">
        <v>10</v>
      </c>
      <c r="C8" s="53" t="s">
        <v>3239</v>
      </c>
      <c r="E8" s="55" t="s">
        <v>3240</v>
      </c>
      <c r="F8" s="56">
        <v>3.2</v>
      </c>
      <c r="G8" s="56">
        <v>4</v>
      </c>
      <c r="H8" s="56">
        <v>4</v>
      </c>
      <c r="I8" s="56">
        <v>3.5</v>
      </c>
      <c r="J8" s="56">
        <v>4.4</v>
      </c>
      <c r="K8" s="56">
        <v>2.7</v>
      </c>
      <c r="L8" s="56">
        <v>3.9</v>
      </c>
      <c r="M8" s="56">
        <v>3</v>
      </c>
      <c r="N8" s="56">
        <v>2.4</v>
      </c>
      <c r="O8" s="56">
        <v>4</v>
      </c>
      <c r="P8" s="56">
        <v>4.2</v>
      </c>
      <c r="Q8" s="56">
        <v>4.2</v>
      </c>
      <c r="R8" s="56">
        <v>3</v>
      </c>
      <c r="S8" s="56">
        <v>3.2</v>
      </c>
      <c r="T8" s="57">
        <f>ROUND((F8*$B$6+G8*$B$7+H8*$B$8+I8*$B$9+J8*$B$10+K8*$B$11+L8*$B$12+M8*$B$13+N8*$B$14+O8*$B$15+P8*$B$16+Q8*$B$17+R8*$B$18+S8*$B$19)/5,1)</f>
        <v>70.4</v>
      </c>
      <c r="U8" s="56" t="s">
        <v>3241</v>
      </c>
      <c r="V8" s="58" t="s">
        <v>3242</v>
      </c>
    </row>
    <row r="9" ht="41" spans="1:22">
      <c r="A9" s="51" t="s">
        <v>3219</v>
      </c>
      <c r="B9" s="52">
        <v>10</v>
      </c>
      <c r="C9" s="53" t="s">
        <v>3243</v>
      </c>
    </row>
    <row r="10" ht="55" spans="1:22">
      <c r="A10" s="51" t="s">
        <v>3220</v>
      </c>
      <c r="B10" s="52">
        <v>5</v>
      </c>
      <c r="C10" s="53" t="s">
        <v>3244</v>
      </c>
    </row>
    <row r="11" ht="28" spans="1:22">
      <c r="A11" s="51" t="s">
        <v>3221</v>
      </c>
      <c r="B11" s="52">
        <v>8</v>
      </c>
      <c r="C11" s="53" t="s">
        <v>3245</v>
      </c>
    </row>
    <row r="12" ht="28" spans="1:22">
      <c r="A12" s="51" t="s">
        <v>3222</v>
      </c>
      <c r="B12" s="52">
        <v>7</v>
      </c>
      <c r="C12" s="53" t="s">
        <v>3246</v>
      </c>
    </row>
    <row r="13" ht="28" spans="1:22">
      <c r="A13" s="51" t="s">
        <v>3223</v>
      </c>
      <c r="B13" s="52">
        <v>7</v>
      </c>
      <c r="C13" s="53" t="s">
        <v>3247</v>
      </c>
    </row>
    <row r="14" ht="28" spans="1:22">
      <c r="A14" s="51" t="s">
        <v>3224</v>
      </c>
      <c r="B14" s="52">
        <v>8</v>
      </c>
      <c r="C14" s="53" t="s">
        <v>3248</v>
      </c>
    </row>
    <row r="15" ht="41" spans="1:22">
      <c r="A15" s="51" t="s">
        <v>3225</v>
      </c>
      <c r="B15" s="52">
        <v>8</v>
      </c>
      <c r="C15" s="53" t="s">
        <v>3249</v>
      </c>
    </row>
    <row r="16" ht="28" spans="1:22">
      <c r="A16" s="51" t="s">
        <v>3226</v>
      </c>
      <c r="B16" s="52">
        <v>6</v>
      </c>
      <c r="C16" s="53" t="s">
        <v>3250</v>
      </c>
    </row>
    <row r="17" ht="28" spans="1:12">
      <c r="A17" s="51" t="s">
        <v>3227</v>
      </c>
      <c r="B17" s="52">
        <v>4</v>
      </c>
      <c r="C17" s="53" t="s">
        <v>3251</v>
      </c>
    </row>
    <row r="18" ht="28" spans="1:12">
      <c r="A18" s="51" t="s">
        <v>3228</v>
      </c>
      <c r="B18" s="52">
        <v>4</v>
      </c>
      <c r="C18" s="53" t="s">
        <v>3252</v>
      </c>
    </row>
    <row r="19" ht="28" spans="1:12">
      <c r="A19" s="55" t="s">
        <v>3229</v>
      </c>
      <c r="B19" s="56">
        <v>3</v>
      </c>
      <c r="C19" s="58" t="s">
        <v>3253</v>
      </c>
    </row>
    <row r="22" ht="34" customHeight="1" spans="1:12">
      <c r="A22" s="59" t="s">
        <v>1801</v>
      </c>
      <c r="B22" s="59" t="s">
        <v>31</v>
      </c>
      <c r="C22" s="59" t="s">
        <v>3254</v>
      </c>
      <c r="D22" s="59" t="s">
        <v>3255</v>
      </c>
      <c r="E22" s="59" t="s">
        <v>3256</v>
      </c>
      <c r="F22" s="59" t="s">
        <v>3257</v>
      </c>
      <c r="G22" s="59" t="s">
        <v>3258</v>
      </c>
      <c r="H22" s="59" t="s">
        <v>3259</v>
      </c>
      <c r="I22" s="59" t="s">
        <v>3260</v>
      </c>
      <c r="J22" s="59" t="s">
        <v>3261</v>
      </c>
      <c r="K22" s="59" t="s">
        <v>3262</v>
      </c>
      <c r="L22" s="59" t="s">
        <v>1813</v>
      </c>
    </row>
    <row r="23" spans="1:12">
      <c r="A23" s="47" t="s">
        <v>1814</v>
      </c>
      <c r="B23" s="48" t="s">
        <v>376</v>
      </c>
      <c r="C23" s="48">
        <v>5</v>
      </c>
      <c r="D23" s="48">
        <v>3</v>
      </c>
      <c r="E23" s="48">
        <v>4</v>
      </c>
      <c r="F23" s="48">
        <v>4</v>
      </c>
      <c r="G23" s="48">
        <v>5</v>
      </c>
      <c r="H23" s="48">
        <v>5</v>
      </c>
      <c r="I23" s="48">
        <v>3</v>
      </c>
      <c r="J23" s="48">
        <v>3</v>
      </c>
      <c r="K23" s="50">
        <f>ROUND(SUMPRODUCT(C23:J23,{15,15,15,15,15,10,8,7})/5,1)</f>
        <v>82</v>
      </c>
      <c r="L23" s="49" t="s">
        <v>1824</v>
      </c>
    </row>
    <row r="24" spans="1:12">
      <c r="A24" s="51" t="s">
        <v>1825</v>
      </c>
      <c r="B24" s="52" t="s">
        <v>390</v>
      </c>
      <c r="C24" s="52">
        <v>5</v>
      </c>
      <c r="D24" s="52">
        <v>3</v>
      </c>
      <c r="E24" s="52">
        <v>4</v>
      </c>
      <c r="F24" s="52">
        <v>4</v>
      </c>
      <c r="G24" s="52">
        <v>5</v>
      </c>
      <c r="H24" s="52">
        <v>5</v>
      </c>
      <c r="I24" s="52">
        <v>3</v>
      </c>
      <c r="J24" s="52">
        <v>3</v>
      </c>
      <c r="K24" s="54">
        <f>ROUND(SUMPRODUCT(C24:J24,{15,15,15,15,15,10,8,7})/5,1)</f>
        <v>82</v>
      </c>
      <c r="L24" s="53" t="s">
        <v>1832</v>
      </c>
    </row>
    <row r="25" spans="1:12">
      <c r="A25" s="51" t="s">
        <v>1833</v>
      </c>
      <c r="B25" s="52" t="s">
        <v>402</v>
      </c>
      <c r="C25" s="52">
        <v>5</v>
      </c>
      <c r="D25" s="52">
        <v>3</v>
      </c>
      <c r="E25" s="52">
        <v>4</v>
      </c>
      <c r="F25" s="52">
        <v>4</v>
      </c>
      <c r="G25" s="52">
        <v>3</v>
      </c>
      <c r="H25" s="52">
        <v>5</v>
      </c>
      <c r="I25" s="52">
        <v>3</v>
      </c>
      <c r="J25" s="52">
        <v>3</v>
      </c>
      <c r="K25" s="54">
        <f>ROUND(SUMPRODUCT(C25:J25,{15,15,15,15,15,10,8,7})/5,1)</f>
        <v>76</v>
      </c>
      <c r="L25" s="53" t="s">
        <v>1832</v>
      </c>
    </row>
    <row r="26" spans="1:12">
      <c r="A26" s="51" t="s">
        <v>1840</v>
      </c>
      <c r="B26" s="52" t="s">
        <v>413</v>
      </c>
      <c r="C26" s="52">
        <v>5</v>
      </c>
      <c r="D26" s="52">
        <v>5</v>
      </c>
      <c r="E26" s="52">
        <v>4</v>
      </c>
      <c r="F26" s="52">
        <v>3</v>
      </c>
      <c r="G26" s="52">
        <v>5</v>
      </c>
      <c r="H26" s="52">
        <v>5</v>
      </c>
      <c r="I26" s="52">
        <v>5</v>
      </c>
      <c r="J26" s="52">
        <v>3</v>
      </c>
      <c r="K26" s="54">
        <f>ROUND(SUMPRODUCT(C26:J26,{15,15,15,15,15,10,8,7})/5,1)</f>
        <v>88.2</v>
      </c>
      <c r="L26" s="53" t="s">
        <v>1848</v>
      </c>
    </row>
    <row r="27" spans="1:12">
      <c r="A27" s="51" t="s">
        <v>1849</v>
      </c>
      <c r="B27" s="52" t="s">
        <v>463</v>
      </c>
      <c r="C27" s="52">
        <v>4</v>
      </c>
      <c r="D27" s="52">
        <v>5</v>
      </c>
      <c r="E27" s="52">
        <v>4</v>
      </c>
      <c r="F27" s="52">
        <v>4</v>
      </c>
      <c r="G27" s="52">
        <v>3</v>
      </c>
      <c r="H27" s="52">
        <v>5</v>
      </c>
      <c r="I27" s="52">
        <v>5</v>
      </c>
      <c r="J27" s="52">
        <v>3</v>
      </c>
      <c r="K27" s="54">
        <f>ROUND(SUMPRODUCT(C27:J27,{15,15,15,15,15,10,8,7})/5,1)</f>
        <v>82.2</v>
      </c>
      <c r="L27" s="53" t="s">
        <v>1857</v>
      </c>
    </row>
    <row r="28" spans="1:12">
      <c r="A28" s="51" t="s">
        <v>1858</v>
      </c>
      <c r="B28" s="52" t="s">
        <v>475</v>
      </c>
      <c r="C28" s="52">
        <v>4</v>
      </c>
      <c r="D28" s="52">
        <v>3</v>
      </c>
      <c r="E28" s="52">
        <v>4</v>
      </c>
      <c r="F28" s="52">
        <v>4</v>
      </c>
      <c r="G28" s="52">
        <v>3</v>
      </c>
      <c r="H28" s="52">
        <v>5</v>
      </c>
      <c r="I28" s="52">
        <v>3</v>
      </c>
      <c r="J28" s="52">
        <v>3</v>
      </c>
      <c r="K28" s="54">
        <f>ROUND(SUMPRODUCT(C28:J28,{15,15,15,15,15,10,8,7})/5,1)</f>
        <v>73</v>
      </c>
      <c r="L28" s="53" t="s">
        <v>1865</v>
      </c>
    </row>
    <row r="29" spans="1:12">
      <c r="A29" s="51" t="s">
        <v>1866</v>
      </c>
      <c r="B29" s="52" t="s">
        <v>486</v>
      </c>
      <c r="C29" s="52">
        <v>4</v>
      </c>
      <c r="D29" s="52">
        <v>3</v>
      </c>
      <c r="E29" s="52">
        <v>4</v>
      </c>
      <c r="F29" s="52">
        <v>4</v>
      </c>
      <c r="G29" s="52">
        <v>3</v>
      </c>
      <c r="H29" s="52">
        <v>5</v>
      </c>
      <c r="I29" s="52">
        <v>3</v>
      </c>
      <c r="J29" s="52">
        <v>3</v>
      </c>
      <c r="K29" s="54">
        <f>ROUND(SUMPRODUCT(C29:J29,{15,15,15,15,15,10,8,7})/5,1)</f>
        <v>73</v>
      </c>
      <c r="L29" s="53" t="s">
        <v>1865</v>
      </c>
    </row>
    <row r="30" spans="1:12">
      <c r="A30" s="51" t="s">
        <v>1872</v>
      </c>
      <c r="B30" s="52" t="s">
        <v>147</v>
      </c>
      <c r="C30" s="52">
        <v>5</v>
      </c>
      <c r="D30" s="52">
        <v>5</v>
      </c>
      <c r="E30" s="52">
        <v>4</v>
      </c>
      <c r="F30" s="52">
        <v>4</v>
      </c>
      <c r="G30" s="52">
        <v>3</v>
      </c>
      <c r="H30" s="52">
        <v>5</v>
      </c>
      <c r="I30" s="52">
        <v>5</v>
      </c>
      <c r="J30" s="52">
        <v>3</v>
      </c>
      <c r="K30" s="54">
        <f>ROUND(SUMPRODUCT(C30:J30,{15,15,15,15,15,10,8,7})/5,1)</f>
        <v>85.2</v>
      </c>
      <c r="L30" s="53" t="s">
        <v>1879</v>
      </c>
    </row>
    <row r="31" spans="1:12">
      <c r="A31" s="51" t="s">
        <v>1880</v>
      </c>
      <c r="B31" s="52" t="s">
        <v>120</v>
      </c>
      <c r="C31" s="52">
        <v>5</v>
      </c>
      <c r="D31" s="52">
        <v>5</v>
      </c>
      <c r="E31" s="52">
        <v>4</v>
      </c>
      <c r="F31" s="52">
        <v>5</v>
      </c>
      <c r="G31" s="52">
        <v>3</v>
      </c>
      <c r="H31" s="52">
        <v>5</v>
      </c>
      <c r="I31" s="52">
        <v>5</v>
      </c>
      <c r="J31" s="52">
        <v>3</v>
      </c>
      <c r="K31" s="54">
        <f>ROUND(SUMPRODUCT(C31:J31,{15,15,15,15,15,10,8,7})/5,1)</f>
        <v>88.2</v>
      </c>
      <c r="L31" s="53" t="s">
        <v>1887</v>
      </c>
    </row>
    <row r="32" spans="1:12">
      <c r="A32" s="51" t="s">
        <v>1888</v>
      </c>
      <c r="B32" s="52" t="s">
        <v>496</v>
      </c>
      <c r="C32" s="52">
        <v>4</v>
      </c>
      <c r="D32" s="52">
        <v>2</v>
      </c>
      <c r="E32" s="52">
        <v>4</v>
      </c>
      <c r="F32" s="52">
        <v>5</v>
      </c>
      <c r="G32" s="52">
        <v>3</v>
      </c>
      <c r="H32" s="52">
        <v>5</v>
      </c>
      <c r="I32" s="52">
        <v>3</v>
      </c>
      <c r="J32" s="52">
        <v>3</v>
      </c>
      <c r="K32" s="54">
        <f>ROUND(SUMPRODUCT(C32:J32,{15,15,15,15,15,10,8,7})/5,1)</f>
        <v>73</v>
      </c>
      <c r="L32" s="53" t="s">
        <v>1895</v>
      </c>
    </row>
    <row r="33" spans="1:12">
      <c r="A33" s="51" t="s">
        <v>1899</v>
      </c>
      <c r="B33" s="52" t="s">
        <v>424</v>
      </c>
      <c r="C33" s="52">
        <v>3</v>
      </c>
      <c r="D33" s="52">
        <v>3</v>
      </c>
      <c r="E33" s="52">
        <v>4</v>
      </c>
      <c r="F33" s="52">
        <v>5</v>
      </c>
      <c r="G33" s="52">
        <v>5</v>
      </c>
      <c r="H33" s="52">
        <v>5</v>
      </c>
      <c r="I33" s="52">
        <v>3</v>
      </c>
      <c r="J33" s="52">
        <v>3</v>
      </c>
      <c r="K33" s="54">
        <f>ROUND(SUMPRODUCT(C33:J33,{15,15,15,15,15,10,8,7})/5,1)</f>
        <v>79</v>
      </c>
      <c r="L33" s="53" t="s">
        <v>1906</v>
      </c>
    </row>
    <row r="34" spans="1:12">
      <c r="A34" s="51" t="s">
        <v>1907</v>
      </c>
      <c r="B34" s="52" t="s">
        <v>437</v>
      </c>
      <c r="C34" s="52">
        <v>3</v>
      </c>
      <c r="D34" s="52">
        <v>2</v>
      </c>
      <c r="E34" s="52">
        <v>4</v>
      </c>
      <c r="F34" s="52">
        <v>5</v>
      </c>
      <c r="G34" s="52">
        <v>5</v>
      </c>
      <c r="H34" s="52">
        <v>5</v>
      </c>
      <c r="I34" s="52">
        <v>3</v>
      </c>
      <c r="J34" s="52">
        <v>3</v>
      </c>
      <c r="K34" s="54">
        <f>ROUND(SUMPRODUCT(C34:J34,{15,15,15,15,15,10,8,7})/5,1)</f>
        <v>76</v>
      </c>
      <c r="L34" s="53" t="s">
        <v>1914</v>
      </c>
    </row>
    <row r="35" spans="1:12">
      <c r="A35" s="51" t="s">
        <v>1915</v>
      </c>
      <c r="B35" s="52" t="s">
        <v>452</v>
      </c>
      <c r="C35" s="52">
        <v>3</v>
      </c>
      <c r="D35" s="52">
        <v>2</v>
      </c>
      <c r="E35" s="52">
        <v>4</v>
      </c>
      <c r="F35" s="52">
        <v>4</v>
      </c>
      <c r="G35" s="52">
        <v>5</v>
      </c>
      <c r="H35" s="52">
        <v>5</v>
      </c>
      <c r="I35" s="52">
        <v>3</v>
      </c>
      <c r="J35" s="52">
        <v>3</v>
      </c>
      <c r="K35" s="54">
        <f>ROUND(SUMPRODUCT(C35:J35,{15,15,15,15,15,10,8,7})/5,1)</f>
        <v>73</v>
      </c>
      <c r="L35" s="53" t="s">
        <v>1922</v>
      </c>
    </row>
    <row r="36" spans="1:12">
      <c r="A36" s="51" t="s">
        <v>1923</v>
      </c>
      <c r="B36" s="52" t="s">
        <v>510</v>
      </c>
      <c r="C36" s="52">
        <v>3</v>
      </c>
      <c r="D36" s="52">
        <v>2</v>
      </c>
      <c r="E36" s="52">
        <v>4</v>
      </c>
      <c r="F36" s="52">
        <v>4</v>
      </c>
      <c r="G36" s="52">
        <v>4</v>
      </c>
      <c r="H36" s="52">
        <v>5</v>
      </c>
      <c r="I36" s="52">
        <v>3</v>
      </c>
      <c r="J36" s="52">
        <v>3</v>
      </c>
      <c r="K36" s="54">
        <f>ROUND(SUMPRODUCT(C36:J36,{15,15,15,15,15,10,8,7})/5,1)</f>
        <v>70</v>
      </c>
      <c r="L36" s="53" t="s">
        <v>606</v>
      </c>
    </row>
    <row r="37" spans="1:12">
      <c r="A37" s="51" t="s">
        <v>1929</v>
      </c>
      <c r="B37" s="52" t="s">
        <v>887</v>
      </c>
      <c r="C37" s="52">
        <v>5</v>
      </c>
      <c r="D37" s="52">
        <v>5</v>
      </c>
      <c r="E37" s="52">
        <v>4</v>
      </c>
      <c r="F37" s="52">
        <v>4</v>
      </c>
      <c r="G37" s="52">
        <v>3</v>
      </c>
      <c r="H37" s="52">
        <v>5</v>
      </c>
      <c r="I37" s="52">
        <v>5</v>
      </c>
      <c r="J37" s="52">
        <v>3</v>
      </c>
      <c r="K37" s="54">
        <f>ROUND(SUMPRODUCT(C37:J37,{15,15,15,15,15,10,8,7})/5,1)</f>
        <v>85.2</v>
      </c>
      <c r="L37" s="53" t="s">
        <v>1936</v>
      </c>
    </row>
    <row r="38" spans="1:12">
      <c r="A38" s="51" t="s">
        <v>1937</v>
      </c>
      <c r="B38" s="52" t="s">
        <v>893</v>
      </c>
      <c r="C38" s="52">
        <v>5</v>
      </c>
      <c r="D38" s="52">
        <v>5</v>
      </c>
      <c r="E38" s="52">
        <v>4</v>
      </c>
      <c r="F38" s="52">
        <v>4</v>
      </c>
      <c r="G38" s="52">
        <v>3</v>
      </c>
      <c r="H38" s="52">
        <v>5</v>
      </c>
      <c r="I38" s="52">
        <v>5</v>
      </c>
      <c r="J38" s="52">
        <v>3</v>
      </c>
      <c r="K38" s="54">
        <f>ROUND(SUMPRODUCT(C38:J38,{15,15,15,15,15,10,8,7})/5,1)</f>
        <v>85.2</v>
      </c>
      <c r="L38" s="53" t="s">
        <v>1936</v>
      </c>
    </row>
    <row r="39" spans="1:12">
      <c r="A39" s="51" t="s">
        <v>1945</v>
      </c>
      <c r="B39" s="52" t="s">
        <v>568</v>
      </c>
      <c r="C39" s="52">
        <v>4</v>
      </c>
      <c r="D39" s="52">
        <v>5</v>
      </c>
      <c r="E39" s="52">
        <v>3</v>
      </c>
      <c r="F39" s="52">
        <v>4</v>
      </c>
      <c r="G39" s="52">
        <v>5</v>
      </c>
      <c r="H39" s="52">
        <v>4</v>
      </c>
      <c r="I39" s="52">
        <v>5</v>
      </c>
      <c r="J39" s="52">
        <v>3</v>
      </c>
      <c r="K39" s="54">
        <f>ROUND(SUMPRODUCT(C39:J39,{15,15,15,15,15,10,8,7})/5,1)</f>
        <v>83.2</v>
      </c>
      <c r="L39" s="53" t="s">
        <v>1955</v>
      </c>
    </row>
    <row r="40" spans="1:12">
      <c r="A40" s="51" t="s">
        <v>1956</v>
      </c>
      <c r="B40" s="52" t="s">
        <v>580</v>
      </c>
      <c r="C40" s="52">
        <v>5</v>
      </c>
      <c r="D40" s="52">
        <v>4</v>
      </c>
      <c r="E40" s="52">
        <v>4</v>
      </c>
      <c r="F40" s="52">
        <v>4</v>
      </c>
      <c r="G40" s="52">
        <v>5</v>
      </c>
      <c r="H40" s="52">
        <v>4</v>
      </c>
      <c r="I40" s="52">
        <v>2</v>
      </c>
      <c r="J40" s="52">
        <v>3</v>
      </c>
      <c r="K40" s="54">
        <f>ROUND(SUMPRODUCT(C40:J40,{15,15,15,15,15,10,8,7})/5,1)</f>
        <v>81.4</v>
      </c>
      <c r="L40" s="53" t="s">
        <v>1832</v>
      </c>
    </row>
    <row r="41" spans="1:12">
      <c r="A41" s="51" t="s">
        <v>1966</v>
      </c>
      <c r="B41" s="52" t="s">
        <v>592</v>
      </c>
      <c r="C41" s="52">
        <v>4</v>
      </c>
      <c r="D41" s="52">
        <v>3</v>
      </c>
      <c r="E41" s="52">
        <v>4</v>
      </c>
      <c r="F41" s="52">
        <v>3</v>
      </c>
      <c r="G41" s="52">
        <v>5</v>
      </c>
      <c r="H41" s="52">
        <v>4</v>
      </c>
      <c r="I41" s="52">
        <v>2</v>
      </c>
      <c r="J41" s="52">
        <v>3</v>
      </c>
      <c r="K41" s="54">
        <f>ROUND(SUMPRODUCT(C41:J41,{15,15,15,15,15,10,8,7})/5,1)</f>
        <v>72.4</v>
      </c>
      <c r="L41" s="53" t="s">
        <v>1973</v>
      </c>
    </row>
    <row r="42" spans="1:12">
      <c r="A42" s="51" t="s">
        <v>1974</v>
      </c>
      <c r="B42" s="52" t="s">
        <v>603</v>
      </c>
      <c r="C42" s="52">
        <v>4</v>
      </c>
      <c r="D42" s="52">
        <v>3</v>
      </c>
      <c r="E42" s="52">
        <v>4</v>
      </c>
      <c r="F42" s="52">
        <v>4</v>
      </c>
      <c r="G42" s="52">
        <v>5</v>
      </c>
      <c r="H42" s="52">
        <v>4</v>
      </c>
      <c r="I42" s="52">
        <v>2</v>
      </c>
      <c r="J42" s="52">
        <v>3</v>
      </c>
      <c r="K42" s="54">
        <f>ROUND(SUMPRODUCT(C42:J42,{15,15,15,15,15,10,8,7})/5,1)</f>
        <v>75.4</v>
      </c>
      <c r="L42" s="53" t="s">
        <v>1973</v>
      </c>
    </row>
    <row r="43" spans="1:12">
      <c r="A43" s="51" t="s">
        <v>1979</v>
      </c>
      <c r="B43" s="52" t="s">
        <v>612</v>
      </c>
      <c r="C43" s="52">
        <v>5</v>
      </c>
      <c r="D43" s="52">
        <v>4</v>
      </c>
      <c r="E43" s="52">
        <v>4</v>
      </c>
      <c r="F43" s="52">
        <v>4</v>
      </c>
      <c r="G43" s="52">
        <v>5</v>
      </c>
      <c r="H43" s="52">
        <v>4</v>
      </c>
      <c r="I43" s="52">
        <v>2</v>
      </c>
      <c r="J43" s="52">
        <v>4</v>
      </c>
      <c r="K43" s="54">
        <f>ROUND(SUMPRODUCT(C43:J43,{15,15,15,15,15,10,8,7})/5,1)</f>
        <v>82.8</v>
      </c>
      <c r="L43" s="53" t="s">
        <v>1987</v>
      </c>
    </row>
    <row r="44" spans="1:12">
      <c r="A44" s="51" t="s">
        <v>1988</v>
      </c>
      <c r="B44" s="52" t="s">
        <v>626</v>
      </c>
      <c r="C44" s="52">
        <v>4</v>
      </c>
      <c r="D44" s="52">
        <v>3</v>
      </c>
      <c r="E44" s="52">
        <v>4</v>
      </c>
      <c r="F44" s="52">
        <v>4</v>
      </c>
      <c r="G44" s="52">
        <v>5</v>
      </c>
      <c r="H44" s="52">
        <v>4</v>
      </c>
      <c r="I44" s="52">
        <v>2</v>
      </c>
      <c r="J44" s="52">
        <v>3</v>
      </c>
      <c r="K44" s="54">
        <f>ROUND(SUMPRODUCT(C44:J44,{15,15,15,15,15,10,8,7})/5,1)</f>
        <v>75.4</v>
      </c>
      <c r="L44" s="53" t="s">
        <v>1973</v>
      </c>
    </row>
    <row r="45" spans="1:12">
      <c r="A45" s="51" t="s">
        <v>1996</v>
      </c>
      <c r="B45" s="52" t="s">
        <v>637</v>
      </c>
      <c r="C45" s="52">
        <v>4</v>
      </c>
      <c r="D45" s="52">
        <v>5</v>
      </c>
      <c r="E45" s="52">
        <v>3</v>
      </c>
      <c r="F45" s="52">
        <v>3</v>
      </c>
      <c r="G45" s="52">
        <v>3</v>
      </c>
      <c r="H45" s="52">
        <v>4</v>
      </c>
      <c r="I45" s="52">
        <v>5</v>
      </c>
      <c r="J45" s="52">
        <v>3</v>
      </c>
      <c r="K45" s="54">
        <f>ROUND(SUMPRODUCT(C45:J45,{15,15,15,15,15,10,8,7})/5,1)</f>
        <v>74.2</v>
      </c>
      <c r="L45" s="53" t="s">
        <v>2006</v>
      </c>
    </row>
    <row r="46" spans="1:12">
      <c r="A46" s="51" t="s">
        <v>2010</v>
      </c>
      <c r="B46" s="52" t="s">
        <v>729</v>
      </c>
      <c r="C46" s="52">
        <v>4</v>
      </c>
      <c r="D46" s="52">
        <v>4</v>
      </c>
      <c r="E46" s="52">
        <v>4</v>
      </c>
      <c r="F46" s="52">
        <v>3</v>
      </c>
      <c r="G46" s="52">
        <v>4</v>
      </c>
      <c r="H46" s="52">
        <v>4</v>
      </c>
      <c r="I46" s="52">
        <v>2</v>
      </c>
      <c r="J46" s="52">
        <v>3</v>
      </c>
      <c r="K46" s="54">
        <f>ROUND(SUMPRODUCT(C46:J46,{15,15,15,15,15,10,8,7})/5,1)</f>
        <v>72.4</v>
      </c>
      <c r="L46" s="53" t="s">
        <v>723</v>
      </c>
    </row>
    <row r="47" spans="1:12">
      <c r="A47" s="51" t="s">
        <v>2019</v>
      </c>
      <c r="B47" s="52" t="s">
        <v>2020</v>
      </c>
      <c r="C47" s="52">
        <v>3</v>
      </c>
      <c r="D47" s="52">
        <v>2</v>
      </c>
      <c r="E47" s="52">
        <v>4</v>
      </c>
      <c r="F47" s="52">
        <v>4</v>
      </c>
      <c r="G47" s="52">
        <v>4</v>
      </c>
      <c r="H47" s="52">
        <v>4</v>
      </c>
      <c r="I47" s="52">
        <v>2</v>
      </c>
      <c r="J47" s="52">
        <v>3</v>
      </c>
      <c r="K47" s="54">
        <f>ROUND(SUMPRODUCT(C47:J47,{15,15,15,15,15,10,8,7})/5,1)</f>
        <v>66.4</v>
      </c>
      <c r="L47" s="53" t="s">
        <v>606</v>
      </c>
    </row>
    <row r="48" spans="1:12">
      <c r="A48" s="51" t="s">
        <v>2028</v>
      </c>
      <c r="B48" s="52" t="s">
        <v>737</v>
      </c>
      <c r="C48" s="52">
        <v>4</v>
      </c>
      <c r="D48" s="52">
        <v>2</v>
      </c>
      <c r="E48" s="52">
        <v>4</v>
      </c>
      <c r="F48" s="52">
        <v>4</v>
      </c>
      <c r="G48" s="52">
        <v>4</v>
      </c>
      <c r="H48" s="52">
        <v>4</v>
      </c>
      <c r="I48" s="52">
        <v>2</v>
      </c>
      <c r="J48" s="52">
        <v>3</v>
      </c>
      <c r="K48" s="54">
        <f>ROUND(SUMPRODUCT(C48:J48,{15,15,15,15,15,10,8,7})/5,1)</f>
        <v>69.4</v>
      </c>
      <c r="L48" s="53" t="s">
        <v>1973</v>
      </c>
    </row>
    <row r="49" spans="1:12">
      <c r="A49" s="51" t="s">
        <v>2036</v>
      </c>
      <c r="B49" s="52" t="s">
        <v>2037</v>
      </c>
      <c r="C49" s="52">
        <v>3</v>
      </c>
      <c r="D49" s="52">
        <v>2</v>
      </c>
      <c r="E49" s="52">
        <v>4</v>
      </c>
      <c r="F49" s="52">
        <v>3</v>
      </c>
      <c r="G49" s="52">
        <v>4</v>
      </c>
      <c r="H49" s="52">
        <v>4</v>
      </c>
      <c r="I49" s="52">
        <v>2</v>
      </c>
      <c r="J49" s="52">
        <v>3</v>
      </c>
      <c r="K49" s="54">
        <f>ROUND(SUMPRODUCT(C49:J49,{15,15,15,15,15,10,8,7})/5,1)</f>
        <v>63.4</v>
      </c>
      <c r="L49" s="53" t="s">
        <v>606</v>
      </c>
    </row>
    <row r="50" spans="1:12">
      <c r="A50" s="51" t="s">
        <v>2045</v>
      </c>
      <c r="B50" s="52" t="s">
        <v>2046</v>
      </c>
      <c r="C50" s="52">
        <v>4</v>
      </c>
      <c r="D50" s="52">
        <v>2</v>
      </c>
      <c r="E50" s="52">
        <v>3</v>
      </c>
      <c r="F50" s="52">
        <v>4</v>
      </c>
      <c r="G50" s="52">
        <v>4</v>
      </c>
      <c r="H50" s="52">
        <v>4</v>
      </c>
      <c r="I50" s="52">
        <v>2</v>
      </c>
      <c r="J50" s="52">
        <v>3</v>
      </c>
      <c r="K50" s="54">
        <f>ROUND(SUMPRODUCT(C50:J50,{15,15,15,15,15,10,8,7})/5,1)</f>
        <v>66.4</v>
      </c>
      <c r="L50" s="53" t="s">
        <v>723</v>
      </c>
    </row>
    <row r="51" spans="1:12">
      <c r="A51" s="51" t="s">
        <v>2055</v>
      </c>
      <c r="B51" s="52" t="s">
        <v>647</v>
      </c>
      <c r="C51" s="52">
        <v>4</v>
      </c>
      <c r="D51" s="52">
        <v>4</v>
      </c>
      <c r="E51" s="52">
        <v>4</v>
      </c>
      <c r="F51" s="52">
        <v>4</v>
      </c>
      <c r="G51" s="52">
        <v>5</v>
      </c>
      <c r="H51" s="52">
        <v>4</v>
      </c>
      <c r="I51" s="52">
        <v>2</v>
      </c>
      <c r="J51" s="52">
        <v>3</v>
      </c>
      <c r="K51" s="54">
        <f>ROUND(SUMPRODUCT(C51:J51,{15,15,15,15,15,10,8,7})/5,1)</f>
        <v>78.4</v>
      </c>
      <c r="L51" s="53" t="s">
        <v>1973</v>
      </c>
    </row>
    <row r="52" spans="1:12">
      <c r="A52" s="51" t="s">
        <v>2061</v>
      </c>
      <c r="B52" s="52" t="s">
        <v>661</v>
      </c>
      <c r="C52" s="52">
        <v>4</v>
      </c>
      <c r="D52" s="52">
        <v>4</v>
      </c>
      <c r="E52" s="52">
        <v>4</v>
      </c>
      <c r="F52" s="52">
        <v>3</v>
      </c>
      <c r="G52" s="52">
        <v>3</v>
      </c>
      <c r="H52" s="52">
        <v>4</v>
      </c>
      <c r="I52" s="52">
        <v>2</v>
      </c>
      <c r="J52" s="52">
        <v>3</v>
      </c>
      <c r="K52" s="54">
        <f>ROUND(SUMPRODUCT(C52:J52,{15,15,15,15,15,10,8,7})/5,1)</f>
        <v>69.4</v>
      </c>
      <c r="L52" s="53" t="s">
        <v>723</v>
      </c>
    </row>
    <row r="53" spans="1:12">
      <c r="A53" s="51" t="s">
        <v>2066</v>
      </c>
      <c r="B53" s="52" t="s">
        <v>655</v>
      </c>
      <c r="C53" s="52">
        <v>4</v>
      </c>
      <c r="D53" s="52">
        <v>4</v>
      </c>
      <c r="E53" s="52">
        <v>4</v>
      </c>
      <c r="F53" s="52">
        <v>3</v>
      </c>
      <c r="G53" s="52">
        <v>3</v>
      </c>
      <c r="H53" s="52">
        <v>4</v>
      </c>
      <c r="I53" s="52">
        <v>2</v>
      </c>
      <c r="J53" s="52">
        <v>3</v>
      </c>
      <c r="K53" s="54">
        <f>ROUND(SUMPRODUCT(C53:J53,{15,15,15,15,15,10,8,7})/5,1)</f>
        <v>69.4</v>
      </c>
      <c r="L53" s="53" t="s">
        <v>1973</v>
      </c>
    </row>
    <row r="54" spans="1:12">
      <c r="A54" s="51" t="s">
        <v>2070</v>
      </c>
      <c r="B54" s="52" t="s">
        <v>669</v>
      </c>
      <c r="C54" s="52">
        <v>3</v>
      </c>
      <c r="D54" s="52">
        <v>4</v>
      </c>
      <c r="E54" s="52">
        <v>4</v>
      </c>
      <c r="F54" s="52">
        <v>4</v>
      </c>
      <c r="G54" s="52">
        <v>5</v>
      </c>
      <c r="H54" s="52">
        <v>4</v>
      </c>
      <c r="I54" s="52">
        <v>2</v>
      </c>
      <c r="J54" s="52">
        <v>3</v>
      </c>
      <c r="K54" s="54">
        <f>ROUND(SUMPRODUCT(C54:J54,{15,15,15,15,15,10,8,7})/5,1)</f>
        <v>75.4</v>
      </c>
      <c r="L54" s="53" t="s">
        <v>672</v>
      </c>
    </row>
    <row r="55" spans="1:12">
      <c r="A55" s="51" t="s">
        <v>2075</v>
      </c>
      <c r="B55" s="52" t="s">
        <v>2076</v>
      </c>
      <c r="C55" s="52">
        <v>3</v>
      </c>
      <c r="D55" s="52">
        <v>4</v>
      </c>
      <c r="E55" s="52">
        <v>4</v>
      </c>
      <c r="F55" s="52">
        <v>4</v>
      </c>
      <c r="G55" s="52">
        <v>3</v>
      </c>
      <c r="H55" s="52">
        <v>4</v>
      </c>
      <c r="I55" s="52">
        <v>2</v>
      </c>
      <c r="J55" s="52">
        <v>3</v>
      </c>
      <c r="K55" s="54">
        <f>ROUND(SUMPRODUCT(C55:J55,{15,15,15,15,15,10,8,7})/5,1)</f>
        <v>69.4</v>
      </c>
      <c r="L55" s="53" t="s">
        <v>672</v>
      </c>
    </row>
    <row r="56" spans="1:12">
      <c r="A56" s="51" t="s">
        <v>2082</v>
      </c>
      <c r="B56" s="52" t="s">
        <v>2083</v>
      </c>
      <c r="C56" s="52">
        <v>3</v>
      </c>
      <c r="D56" s="52">
        <v>4</v>
      </c>
      <c r="E56" s="52">
        <v>4</v>
      </c>
      <c r="F56" s="52">
        <v>3</v>
      </c>
      <c r="G56" s="52">
        <v>5</v>
      </c>
      <c r="H56" s="52">
        <v>4</v>
      </c>
      <c r="I56" s="52">
        <v>2</v>
      </c>
      <c r="J56" s="52">
        <v>3</v>
      </c>
      <c r="K56" s="54">
        <f>ROUND(SUMPRODUCT(C56:J56,{15,15,15,15,15,10,8,7})/5,1)</f>
        <v>72.4</v>
      </c>
      <c r="L56" s="53" t="s">
        <v>606</v>
      </c>
    </row>
    <row r="57" spans="1:12">
      <c r="A57" s="51" t="s">
        <v>2091</v>
      </c>
      <c r="B57" s="52" t="s">
        <v>2092</v>
      </c>
      <c r="C57" s="52">
        <v>3</v>
      </c>
      <c r="D57" s="52">
        <v>5</v>
      </c>
      <c r="E57" s="52">
        <v>4</v>
      </c>
      <c r="F57" s="52">
        <v>3</v>
      </c>
      <c r="G57" s="52">
        <v>3</v>
      </c>
      <c r="H57" s="52">
        <v>4</v>
      </c>
      <c r="I57" s="52">
        <v>5</v>
      </c>
      <c r="J57" s="52">
        <v>3</v>
      </c>
      <c r="K57" s="54">
        <f>ROUND(SUMPRODUCT(C57:J57,{15,15,15,15,15,10,8,7})/5,1)</f>
        <v>74.2</v>
      </c>
      <c r="L57" s="53" t="s">
        <v>2101</v>
      </c>
    </row>
    <row r="58" spans="1:12">
      <c r="A58" s="51" t="s">
        <v>2102</v>
      </c>
      <c r="B58" s="52" t="s">
        <v>773</v>
      </c>
      <c r="C58" s="52">
        <v>4</v>
      </c>
      <c r="D58" s="52">
        <v>4</v>
      </c>
      <c r="E58" s="52">
        <v>4</v>
      </c>
      <c r="F58" s="52">
        <v>3</v>
      </c>
      <c r="G58" s="52">
        <v>3</v>
      </c>
      <c r="H58" s="52">
        <v>4</v>
      </c>
      <c r="I58" s="52">
        <v>3</v>
      </c>
      <c r="J58" s="52">
        <v>3</v>
      </c>
      <c r="K58" s="54">
        <f>ROUND(SUMPRODUCT(C58:J58,{15,15,15,15,15,10,8,7})/5,1)</f>
        <v>71</v>
      </c>
      <c r="L58" s="53" t="s">
        <v>2006</v>
      </c>
    </row>
    <row r="59" spans="1:12">
      <c r="A59" s="51" t="s">
        <v>2109</v>
      </c>
      <c r="B59" s="52" t="s">
        <v>805</v>
      </c>
      <c r="C59" s="52">
        <v>4</v>
      </c>
      <c r="D59" s="52">
        <v>4</v>
      </c>
      <c r="E59" s="52">
        <v>4</v>
      </c>
      <c r="F59" s="52">
        <v>4</v>
      </c>
      <c r="G59" s="52">
        <v>5</v>
      </c>
      <c r="H59" s="52">
        <v>4</v>
      </c>
      <c r="I59" s="52">
        <v>2</v>
      </c>
      <c r="J59" s="52">
        <v>3</v>
      </c>
      <c r="K59" s="54">
        <f>ROUND(SUMPRODUCT(C59:J59,{15,15,15,15,15,10,8,7})/5,1)</f>
        <v>78.4</v>
      </c>
      <c r="L59" s="53" t="s">
        <v>672</v>
      </c>
    </row>
    <row r="60" spans="1:12">
      <c r="A60" s="51" t="s">
        <v>2115</v>
      </c>
      <c r="B60" s="52" t="s">
        <v>2116</v>
      </c>
      <c r="C60" s="52">
        <v>4</v>
      </c>
      <c r="D60" s="52">
        <v>4</v>
      </c>
      <c r="E60" s="52">
        <v>4</v>
      </c>
      <c r="F60" s="52">
        <v>4</v>
      </c>
      <c r="G60" s="52">
        <v>3</v>
      </c>
      <c r="H60" s="52">
        <v>4</v>
      </c>
      <c r="I60" s="52">
        <v>2</v>
      </c>
      <c r="J60" s="52">
        <v>4</v>
      </c>
      <c r="K60" s="54">
        <f>ROUND(SUMPRODUCT(C60:J60,{15,15,15,15,15,10,8,7})/5,1)</f>
        <v>73.8</v>
      </c>
      <c r="L60" s="53" t="s">
        <v>2123</v>
      </c>
    </row>
    <row r="61" spans="1:12">
      <c r="A61" s="51" t="s">
        <v>2124</v>
      </c>
      <c r="B61" s="52" t="s">
        <v>815</v>
      </c>
      <c r="C61" s="52">
        <v>4</v>
      </c>
      <c r="D61" s="52">
        <v>4</v>
      </c>
      <c r="E61" s="52">
        <v>4</v>
      </c>
      <c r="F61" s="52">
        <v>3</v>
      </c>
      <c r="G61" s="52">
        <v>3</v>
      </c>
      <c r="H61" s="52">
        <v>4</v>
      </c>
      <c r="I61" s="52">
        <v>2</v>
      </c>
      <c r="J61" s="52">
        <v>3</v>
      </c>
      <c r="K61" s="54">
        <f>ROUND(SUMPRODUCT(C61:J61,{15,15,15,15,15,10,8,7})/5,1)</f>
        <v>69.4</v>
      </c>
      <c r="L61" s="53" t="s">
        <v>1973</v>
      </c>
    </row>
    <row r="62" spans="1:12">
      <c r="A62" s="51" t="s">
        <v>2130</v>
      </c>
      <c r="B62" s="52" t="s">
        <v>789</v>
      </c>
      <c r="C62" s="52">
        <v>4</v>
      </c>
      <c r="D62" s="52">
        <v>4</v>
      </c>
      <c r="E62" s="52">
        <v>3</v>
      </c>
      <c r="F62" s="52">
        <v>3</v>
      </c>
      <c r="G62" s="52">
        <v>4</v>
      </c>
      <c r="H62" s="52">
        <v>4</v>
      </c>
      <c r="I62" s="52">
        <v>3</v>
      </c>
      <c r="J62" s="52">
        <v>3</v>
      </c>
      <c r="K62" s="54">
        <f>ROUND(SUMPRODUCT(C62:J62,{15,15,15,15,15,10,8,7})/5,1)</f>
        <v>71</v>
      </c>
      <c r="L62" s="53" t="s">
        <v>2006</v>
      </c>
    </row>
    <row r="63" spans="1:12">
      <c r="A63" s="51" t="s">
        <v>2137</v>
      </c>
      <c r="B63" s="52" t="s">
        <v>2138</v>
      </c>
      <c r="C63" s="52">
        <v>3</v>
      </c>
      <c r="D63" s="52">
        <v>4</v>
      </c>
      <c r="E63" s="52">
        <v>4</v>
      </c>
      <c r="F63" s="52">
        <v>3</v>
      </c>
      <c r="G63" s="52">
        <v>3</v>
      </c>
      <c r="H63" s="52">
        <v>4</v>
      </c>
      <c r="I63" s="52">
        <v>2</v>
      </c>
      <c r="J63" s="52">
        <v>3</v>
      </c>
      <c r="K63" s="54">
        <f>ROUND(SUMPRODUCT(C63:J63,{15,15,15,15,15,10,8,7})/5,1)</f>
        <v>66.4</v>
      </c>
      <c r="L63" s="53" t="s">
        <v>672</v>
      </c>
    </row>
    <row r="64" spans="1:12">
      <c r="A64" s="51" t="s">
        <v>2144</v>
      </c>
      <c r="B64" s="52" t="s">
        <v>2145</v>
      </c>
      <c r="C64" s="52">
        <v>3</v>
      </c>
      <c r="D64" s="52">
        <v>4</v>
      </c>
      <c r="E64" s="52">
        <v>3</v>
      </c>
      <c r="F64" s="52">
        <v>3</v>
      </c>
      <c r="G64" s="52">
        <v>3</v>
      </c>
      <c r="H64" s="52">
        <v>4</v>
      </c>
      <c r="I64" s="52">
        <v>2</v>
      </c>
      <c r="J64" s="52">
        <v>3</v>
      </c>
      <c r="K64" s="54">
        <f>ROUND(SUMPRODUCT(C64:J64,{15,15,15,15,15,10,8,7})/5,1)</f>
        <v>63.4</v>
      </c>
      <c r="L64" s="53" t="s">
        <v>672</v>
      </c>
    </row>
    <row r="65" spans="1:12">
      <c r="A65" s="51" t="s">
        <v>2152</v>
      </c>
      <c r="B65" s="52" t="s">
        <v>2153</v>
      </c>
      <c r="C65" s="52">
        <v>4</v>
      </c>
      <c r="D65" s="52">
        <v>4</v>
      </c>
      <c r="E65" s="52">
        <v>4</v>
      </c>
      <c r="F65" s="52">
        <v>3</v>
      </c>
      <c r="G65" s="52">
        <v>5</v>
      </c>
      <c r="H65" s="52">
        <v>5</v>
      </c>
      <c r="I65" s="52">
        <v>3</v>
      </c>
      <c r="J65" s="52">
        <v>3</v>
      </c>
      <c r="K65" s="54">
        <f>ROUND(SUMPRODUCT(C65:J65,{15,15,15,15,15,10,8,7})/5,1)</f>
        <v>79</v>
      </c>
      <c r="L65" s="53" t="s">
        <v>1973</v>
      </c>
    </row>
    <row r="66" spans="1:12">
      <c r="A66" s="51" t="s">
        <v>2162</v>
      </c>
      <c r="B66" s="52" t="s">
        <v>2163</v>
      </c>
      <c r="C66" s="52">
        <v>4</v>
      </c>
      <c r="D66" s="52">
        <v>4</v>
      </c>
      <c r="E66" s="52">
        <v>4</v>
      </c>
      <c r="F66" s="52">
        <v>3</v>
      </c>
      <c r="G66" s="52">
        <v>5</v>
      </c>
      <c r="H66" s="52">
        <v>4</v>
      </c>
      <c r="I66" s="52">
        <v>2</v>
      </c>
      <c r="J66" s="52">
        <v>4</v>
      </c>
      <c r="K66" s="54">
        <f>ROUND(SUMPRODUCT(C66:J66,{15,15,15,15,15,10,8,7})/5,1)</f>
        <v>76.8</v>
      </c>
      <c r="L66" s="53" t="s">
        <v>1973</v>
      </c>
    </row>
    <row r="67" spans="1:12">
      <c r="A67" s="51" t="s">
        <v>2171</v>
      </c>
      <c r="B67" s="52" t="s">
        <v>2172</v>
      </c>
      <c r="C67" s="52">
        <v>3</v>
      </c>
      <c r="D67" s="52">
        <v>4</v>
      </c>
      <c r="E67" s="52">
        <v>4</v>
      </c>
      <c r="F67" s="52">
        <v>3</v>
      </c>
      <c r="G67" s="52">
        <v>4</v>
      </c>
      <c r="H67" s="52">
        <v>4</v>
      </c>
      <c r="I67" s="52">
        <v>2</v>
      </c>
      <c r="J67" s="52">
        <v>3</v>
      </c>
      <c r="K67" s="54">
        <f>ROUND(SUMPRODUCT(C67:J67,{15,15,15,15,15,10,8,7})/5,1)</f>
        <v>69.4</v>
      </c>
      <c r="L67" s="53" t="s">
        <v>672</v>
      </c>
    </row>
    <row r="68" spans="1:12">
      <c r="A68" s="51" t="s">
        <v>2179</v>
      </c>
      <c r="B68" s="52" t="s">
        <v>810</v>
      </c>
      <c r="C68" s="52">
        <v>3</v>
      </c>
      <c r="D68" s="52">
        <v>4</v>
      </c>
      <c r="E68" s="52">
        <v>4</v>
      </c>
      <c r="F68" s="52">
        <v>3</v>
      </c>
      <c r="G68" s="52">
        <v>4</v>
      </c>
      <c r="H68" s="52">
        <v>4</v>
      </c>
      <c r="I68" s="52">
        <v>2</v>
      </c>
      <c r="J68" s="52">
        <v>3</v>
      </c>
      <c r="K68" s="54">
        <f>ROUND(SUMPRODUCT(C68:J68,{15,15,15,15,15,10,8,7})/5,1)</f>
        <v>69.4</v>
      </c>
      <c r="L68" s="53" t="s">
        <v>606</v>
      </c>
    </row>
    <row r="69" spans="1:12">
      <c r="A69" s="51" t="s">
        <v>2185</v>
      </c>
      <c r="B69" s="52" t="s">
        <v>2186</v>
      </c>
      <c r="C69" s="52">
        <v>4</v>
      </c>
      <c r="D69" s="52">
        <v>4</v>
      </c>
      <c r="E69" s="52">
        <v>4</v>
      </c>
      <c r="F69" s="52">
        <v>4</v>
      </c>
      <c r="G69" s="52">
        <v>3</v>
      </c>
      <c r="H69" s="52">
        <v>4</v>
      </c>
      <c r="I69" s="52">
        <v>2</v>
      </c>
      <c r="J69" s="52">
        <v>4</v>
      </c>
      <c r="K69" s="54">
        <f>ROUND(SUMPRODUCT(C69:J69,{15,15,15,15,15,10,8,7})/5,1)</f>
        <v>73.8</v>
      </c>
      <c r="L69" s="53" t="s">
        <v>2123</v>
      </c>
    </row>
    <row r="70" spans="1:12">
      <c r="A70" s="51" t="s">
        <v>2193</v>
      </c>
      <c r="B70" s="52" t="s">
        <v>2194</v>
      </c>
      <c r="C70" s="52">
        <v>3</v>
      </c>
      <c r="D70" s="52">
        <v>4</v>
      </c>
      <c r="E70" s="52">
        <v>4</v>
      </c>
      <c r="F70" s="52">
        <v>4</v>
      </c>
      <c r="G70" s="52">
        <v>3</v>
      </c>
      <c r="H70" s="52">
        <v>4</v>
      </c>
      <c r="I70" s="52">
        <v>2</v>
      </c>
      <c r="J70" s="52">
        <v>3</v>
      </c>
      <c r="K70" s="54">
        <f>ROUND(SUMPRODUCT(C70:J70,{15,15,15,15,15,10,8,7})/5,1)</f>
        <v>69.4</v>
      </c>
      <c r="L70" s="53" t="s">
        <v>672</v>
      </c>
    </row>
    <row r="71" spans="1:12">
      <c r="A71" s="51" t="s">
        <v>2200</v>
      </c>
      <c r="B71" s="52" t="s">
        <v>2201</v>
      </c>
      <c r="C71" s="52">
        <v>4</v>
      </c>
      <c r="D71" s="52">
        <v>4</v>
      </c>
      <c r="E71" s="52">
        <v>3</v>
      </c>
      <c r="F71" s="52">
        <v>4</v>
      </c>
      <c r="G71" s="52">
        <v>3</v>
      </c>
      <c r="H71" s="52">
        <v>4</v>
      </c>
      <c r="I71" s="52">
        <v>2</v>
      </c>
      <c r="J71" s="52">
        <v>3</v>
      </c>
      <c r="K71" s="54">
        <f>ROUND(SUMPRODUCT(C71:J71,{15,15,15,15,15,10,8,7})/5,1)</f>
        <v>69.4</v>
      </c>
      <c r="L71" s="53" t="s">
        <v>444</v>
      </c>
    </row>
    <row r="72" spans="1:12">
      <c r="A72" s="51" t="s">
        <v>2208</v>
      </c>
      <c r="B72" s="52" t="s">
        <v>2209</v>
      </c>
      <c r="C72" s="52">
        <v>3</v>
      </c>
      <c r="D72" s="52">
        <v>4</v>
      </c>
      <c r="E72" s="52">
        <v>4</v>
      </c>
      <c r="F72" s="52">
        <v>3</v>
      </c>
      <c r="G72" s="52">
        <v>5</v>
      </c>
      <c r="H72" s="52">
        <v>4</v>
      </c>
      <c r="I72" s="52">
        <v>2</v>
      </c>
      <c r="J72" s="52">
        <v>3</v>
      </c>
      <c r="K72" s="54">
        <f>ROUND(SUMPRODUCT(C72:J72,{15,15,15,15,15,10,8,7})/5,1)</f>
        <v>72.4</v>
      </c>
      <c r="L72" s="53" t="s">
        <v>672</v>
      </c>
    </row>
    <row r="73" spans="1:12">
      <c r="A73" s="51" t="s">
        <v>2215</v>
      </c>
      <c r="B73" s="52" t="s">
        <v>2216</v>
      </c>
      <c r="C73" s="52">
        <v>4</v>
      </c>
      <c r="D73" s="52">
        <v>2</v>
      </c>
      <c r="E73" s="52">
        <v>4</v>
      </c>
      <c r="F73" s="52">
        <v>5</v>
      </c>
      <c r="G73" s="52">
        <v>3</v>
      </c>
      <c r="H73" s="52">
        <v>4</v>
      </c>
      <c r="I73" s="52">
        <v>2</v>
      </c>
      <c r="J73" s="52">
        <v>4</v>
      </c>
      <c r="K73" s="54">
        <f>ROUND(SUMPRODUCT(C73:J73,{15,15,15,15,15,10,8,7})/5,1)</f>
        <v>70.8</v>
      </c>
      <c r="L73" s="53" t="s">
        <v>2225</v>
      </c>
    </row>
    <row r="74" spans="1:12">
      <c r="A74" s="51" t="s">
        <v>2229</v>
      </c>
      <c r="B74" s="52" t="s">
        <v>2230</v>
      </c>
      <c r="C74" s="52">
        <v>3</v>
      </c>
      <c r="D74" s="52">
        <v>2</v>
      </c>
      <c r="E74" s="52">
        <v>4</v>
      </c>
      <c r="F74" s="52">
        <v>5</v>
      </c>
      <c r="G74" s="52">
        <v>3</v>
      </c>
      <c r="H74" s="52">
        <v>4</v>
      </c>
      <c r="I74" s="52">
        <v>2</v>
      </c>
      <c r="J74" s="52">
        <v>4</v>
      </c>
      <c r="K74" s="54">
        <f>ROUND(SUMPRODUCT(C74:J74,{15,15,15,15,15,10,8,7})/5,1)</f>
        <v>67.8</v>
      </c>
      <c r="L74" s="53" t="s">
        <v>2235</v>
      </c>
    </row>
    <row r="75" spans="1:12">
      <c r="A75" s="51" t="s">
        <v>2239</v>
      </c>
      <c r="B75" s="52" t="s">
        <v>2240</v>
      </c>
      <c r="C75" s="52">
        <v>3</v>
      </c>
      <c r="D75" s="52">
        <v>2</v>
      </c>
      <c r="E75" s="52">
        <v>4</v>
      </c>
      <c r="F75" s="52">
        <v>5</v>
      </c>
      <c r="G75" s="52">
        <v>3</v>
      </c>
      <c r="H75" s="52">
        <v>4</v>
      </c>
      <c r="I75" s="52">
        <v>2</v>
      </c>
      <c r="J75" s="52">
        <v>4</v>
      </c>
      <c r="K75" s="54">
        <f>ROUND(SUMPRODUCT(C75:J75,{15,15,15,15,15,10,8,7})/5,1)</f>
        <v>67.8</v>
      </c>
      <c r="L75" s="53" t="s">
        <v>2235</v>
      </c>
    </row>
    <row r="76" spans="1:12">
      <c r="A76" s="51" t="s">
        <v>2243</v>
      </c>
      <c r="B76" s="52" t="s">
        <v>2244</v>
      </c>
      <c r="C76" s="52">
        <v>4</v>
      </c>
      <c r="D76" s="52">
        <v>2</v>
      </c>
      <c r="E76" s="52">
        <v>4</v>
      </c>
      <c r="F76" s="52">
        <v>5</v>
      </c>
      <c r="G76" s="52">
        <v>3</v>
      </c>
      <c r="H76" s="52">
        <v>4</v>
      </c>
      <c r="I76" s="52">
        <v>2</v>
      </c>
      <c r="J76" s="52">
        <v>4</v>
      </c>
      <c r="K76" s="54">
        <f>ROUND(SUMPRODUCT(C76:J76,{15,15,15,15,15,10,8,7})/5,1)</f>
        <v>70.8</v>
      </c>
      <c r="L76" s="53" t="s">
        <v>2225</v>
      </c>
    </row>
    <row r="77" spans="1:12">
      <c r="A77" s="51" t="s">
        <v>2253</v>
      </c>
      <c r="B77" s="52" t="s">
        <v>2254</v>
      </c>
      <c r="C77" s="52">
        <v>4</v>
      </c>
      <c r="D77" s="52">
        <v>2</v>
      </c>
      <c r="E77" s="52">
        <v>4</v>
      </c>
      <c r="F77" s="52">
        <v>5</v>
      </c>
      <c r="G77" s="52">
        <v>3</v>
      </c>
      <c r="H77" s="52">
        <v>5</v>
      </c>
      <c r="I77" s="52">
        <v>2</v>
      </c>
      <c r="J77" s="52">
        <v>4</v>
      </c>
      <c r="K77" s="54">
        <f>ROUND(SUMPRODUCT(C77:J77,{15,15,15,15,15,10,8,7})/5,1)</f>
        <v>72.8</v>
      </c>
      <c r="L77" s="53" t="s">
        <v>2225</v>
      </c>
    </row>
    <row r="78" spans="1:12">
      <c r="A78" s="51" t="s">
        <v>2262</v>
      </c>
      <c r="B78" s="52" t="s">
        <v>2263</v>
      </c>
      <c r="C78" s="52">
        <v>5</v>
      </c>
      <c r="D78" s="52">
        <v>4</v>
      </c>
      <c r="E78" s="52">
        <v>3</v>
      </c>
      <c r="F78" s="52">
        <v>5</v>
      </c>
      <c r="G78" s="52">
        <v>3</v>
      </c>
      <c r="H78" s="52">
        <v>5</v>
      </c>
      <c r="I78" s="52">
        <v>2</v>
      </c>
      <c r="J78" s="52">
        <v>4</v>
      </c>
      <c r="K78" s="54">
        <f>ROUND(SUMPRODUCT(C78:J78,{15,15,15,15,15,10,8,7})/5,1)</f>
        <v>78.8</v>
      </c>
      <c r="L78" s="53" t="s">
        <v>2272</v>
      </c>
    </row>
    <row r="79" spans="1:12">
      <c r="A79" s="51" t="s">
        <v>2273</v>
      </c>
      <c r="B79" s="52" t="s">
        <v>2274</v>
      </c>
      <c r="C79" s="52">
        <v>5</v>
      </c>
      <c r="D79" s="52">
        <v>3</v>
      </c>
      <c r="E79" s="52">
        <v>3</v>
      </c>
      <c r="F79" s="52">
        <v>5</v>
      </c>
      <c r="G79" s="52">
        <v>3</v>
      </c>
      <c r="H79" s="52">
        <v>5</v>
      </c>
      <c r="I79" s="52">
        <v>2</v>
      </c>
      <c r="J79" s="52">
        <v>4</v>
      </c>
      <c r="K79" s="54">
        <f>ROUND(SUMPRODUCT(C79:J79,{15,15,15,15,15,10,8,7})/5,1)</f>
        <v>75.8</v>
      </c>
      <c r="L79" s="53" t="s">
        <v>2272</v>
      </c>
    </row>
    <row r="80" spans="1:12">
      <c r="A80" s="51" t="s">
        <v>2283</v>
      </c>
      <c r="B80" s="52" t="s">
        <v>2284</v>
      </c>
      <c r="C80" s="52">
        <v>4</v>
      </c>
      <c r="D80" s="52">
        <v>2</v>
      </c>
      <c r="E80" s="52">
        <v>4</v>
      </c>
      <c r="F80" s="52">
        <v>5</v>
      </c>
      <c r="G80" s="52">
        <v>3</v>
      </c>
      <c r="H80" s="52">
        <v>5</v>
      </c>
      <c r="I80" s="52">
        <v>2</v>
      </c>
      <c r="J80" s="52">
        <v>4</v>
      </c>
      <c r="K80" s="54">
        <f>ROUND(SUMPRODUCT(C80:J80,{15,15,15,15,15,10,8,7})/5,1)</f>
        <v>72.8</v>
      </c>
      <c r="L80" s="53" t="s">
        <v>2292</v>
      </c>
    </row>
    <row r="81" spans="1:12">
      <c r="A81" s="51" t="s">
        <v>2293</v>
      </c>
      <c r="B81" s="52" t="s">
        <v>2294</v>
      </c>
      <c r="C81" s="52">
        <v>4</v>
      </c>
      <c r="D81" s="52">
        <v>3</v>
      </c>
      <c r="E81" s="52">
        <v>4</v>
      </c>
      <c r="F81" s="52">
        <v>5</v>
      </c>
      <c r="G81" s="52">
        <v>3</v>
      </c>
      <c r="H81" s="52">
        <v>5</v>
      </c>
      <c r="I81" s="52">
        <v>2</v>
      </c>
      <c r="J81" s="52">
        <v>4</v>
      </c>
      <c r="K81" s="54">
        <f>ROUND(SUMPRODUCT(C81:J81,{15,15,15,15,15,10,8,7})/5,1)</f>
        <v>75.8</v>
      </c>
      <c r="L81" s="53" t="s">
        <v>2292</v>
      </c>
    </row>
    <row r="82" spans="1:12">
      <c r="A82" s="51" t="s">
        <v>2301</v>
      </c>
      <c r="B82" s="52" t="s">
        <v>2302</v>
      </c>
      <c r="C82" s="52">
        <v>4</v>
      </c>
      <c r="D82" s="52">
        <v>2</v>
      </c>
      <c r="E82" s="52">
        <v>4</v>
      </c>
      <c r="F82" s="52">
        <v>5</v>
      </c>
      <c r="G82" s="52">
        <v>3</v>
      </c>
      <c r="H82" s="52">
        <v>5</v>
      </c>
      <c r="I82" s="52">
        <v>2</v>
      </c>
      <c r="J82" s="52">
        <v>4</v>
      </c>
      <c r="K82" s="54">
        <f>ROUND(SUMPRODUCT(C82:J82,{15,15,15,15,15,10,8,7})/5,1)</f>
        <v>72.8</v>
      </c>
      <c r="L82" s="53" t="s">
        <v>2292</v>
      </c>
    </row>
    <row r="83" spans="1:12">
      <c r="A83" s="51" t="s">
        <v>2307</v>
      </c>
      <c r="B83" s="52" t="s">
        <v>2308</v>
      </c>
      <c r="C83" s="52">
        <v>3</v>
      </c>
      <c r="D83" s="52">
        <v>5</v>
      </c>
      <c r="E83" s="52">
        <v>4</v>
      </c>
      <c r="F83" s="52">
        <v>5</v>
      </c>
      <c r="G83" s="52">
        <v>3</v>
      </c>
      <c r="H83" s="52">
        <v>5</v>
      </c>
      <c r="I83" s="52">
        <v>5</v>
      </c>
      <c r="J83" s="52">
        <v>4</v>
      </c>
      <c r="K83" s="54">
        <f>ROUND(SUMPRODUCT(C83:J83,{15,15,15,15,15,10,8,7})/5,1)</f>
        <v>83.6</v>
      </c>
      <c r="L83" s="53" t="s">
        <v>778</v>
      </c>
    </row>
    <row r="84" spans="1:12">
      <c r="A84" s="51" t="s">
        <v>2317</v>
      </c>
      <c r="B84" s="52" t="s">
        <v>2318</v>
      </c>
      <c r="C84" s="52">
        <v>4</v>
      </c>
      <c r="D84" s="52">
        <v>3</v>
      </c>
      <c r="E84" s="52">
        <v>3</v>
      </c>
      <c r="F84" s="52">
        <v>5</v>
      </c>
      <c r="G84" s="52">
        <v>3</v>
      </c>
      <c r="H84" s="52">
        <v>5</v>
      </c>
      <c r="I84" s="52">
        <v>2</v>
      </c>
      <c r="J84" s="52">
        <v>4</v>
      </c>
      <c r="K84" s="54">
        <f>ROUND(SUMPRODUCT(C84:J84,{15,15,15,15,15,10,8,7})/5,1)</f>
        <v>72.8</v>
      </c>
      <c r="L84" s="53" t="s">
        <v>2292</v>
      </c>
    </row>
    <row r="85" spans="1:12">
      <c r="A85" s="51" t="s">
        <v>2328</v>
      </c>
      <c r="B85" s="52" t="s">
        <v>2329</v>
      </c>
      <c r="C85" s="52">
        <v>4</v>
      </c>
      <c r="D85" s="52">
        <v>2</v>
      </c>
      <c r="E85" s="52">
        <v>4</v>
      </c>
      <c r="F85" s="52">
        <v>5</v>
      </c>
      <c r="G85" s="52">
        <v>3</v>
      </c>
      <c r="H85" s="52">
        <v>4</v>
      </c>
      <c r="I85" s="52">
        <v>2</v>
      </c>
      <c r="J85" s="52">
        <v>3</v>
      </c>
      <c r="K85" s="54">
        <f>ROUND(SUMPRODUCT(C85:J85,{15,15,15,15,15,10,8,7})/5,1)</f>
        <v>69.4</v>
      </c>
      <c r="L85" s="53" t="s">
        <v>2336</v>
      </c>
    </row>
    <row r="86" spans="1:12">
      <c r="A86" s="51" t="s">
        <v>2337</v>
      </c>
      <c r="B86" s="52" t="s">
        <v>2338</v>
      </c>
      <c r="C86" s="52">
        <v>5</v>
      </c>
      <c r="D86" s="52">
        <v>2</v>
      </c>
      <c r="E86" s="52">
        <v>4</v>
      </c>
      <c r="F86" s="52">
        <v>5</v>
      </c>
      <c r="G86" s="52">
        <v>5</v>
      </c>
      <c r="H86" s="52">
        <v>4</v>
      </c>
      <c r="I86" s="52">
        <v>2</v>
      </c>
      <c r="J86" s="52">
        <v>3</v>
      </c>
      <c r="K86" s="54">
        <f>ROUND(SUMPRODUCT(C86:J86,{15,15,15,15,15,10,8,7})/5,1)</f>
        <v>78.4</v>
      </c>
      <c r="L86" s="53" t="s">
        <v>2346</v>
      </c>
    </row>
    <row r="87" spans="1:12">
      <c r="A87" s="51" t="s">
        <v>2347</v>
      </c>
      <c r="B87" s="52" t="s">
        <v>2348</v>
      </c>
      <c r="C87" s="52">
        <v>4</v>
      </c>
      <c r="D87" s="52">
        <v>2</v>
      </c>
      <c r="E87" s="52">
        <v>3</v>
      </c>
      <c r="F87" s="52">
        <v>5</v>
      </c>
      <c r="G87" s="52">
        <v>5</v>
      </c>
      <c r="H87" s="52">
        <v>4</v>
      </c>
      <c r="I87" s="52">
        <v>2</v>
      </c>
      <c r="J87" s="52">
        <v>3</v>
      </c>
      <c r="K87" s="54">
        <f>ROUND(SUMPRODUCT(C87:J87,{15,15,15,15,15,10,8,7})/5,1)</f>
        <v>72.4</v>
      </c>
      <c r="L87" s="53" t="s">
        <v>2355</v>
      </c>
    </row>
    <row r="88" spans="1:12">
      <c r="A88" s="55" t="s">
        <v>2356</v>
      </c>
      <c r="B88" s="56" t="s">
        <v>2357</v>
      </c>
      <c r="C88" s="56">
        <v>5</v>
      </c>
      <c r="D88" s="56">
        <v>3</v>
      </c>
      <c r="E88" s="56">
        <v>4</v>
      </c>
      <c r="F88" s="56">
        <v>5</v>
      </c>
      <c r="G88" s="56">
        <v>3</v>
      </c>
      <c r="H88" s="56">
        <v>5</v>
      </c>
      <c r="I88" s="56">
        <v>2</v>
      </c>
      <c r="J88" s="56">
        <v>4</v>
      </c>
      <c r="K88" s="57">
        <f>ROUND(SUMPRODUCT(C88:J88,{15,15,15,15,15,10,8,7})/5,1)</f>
        <v>78.8</v>
      </c>
      <c r="L88" s="58" t="s">
        <v>2364</v>
      </c>
    </row>
    <row r="92" ht="34" customHeight="1" spans="1:12">
      <c r="A92" s="59" t="s">
        <v>2370</v>
      </c>
      <c r="B92" s="59" t="s">
        <v>3263</v>
      </c>
      <c r="C92" s="59" t="s">
        <v>3264</v>
      </c>
      <c r="D92" s="59" t="s">
        <v>3265</v>
      </c>
      <c r="E92" s="59" t="s">
        <v>3266</v>
      </c>
      <c r="F92" s="59" t="s">
        <v>3267</v>
      </c>
      <c r="G92" s="59" t="s">
        <v>3268</v>
      </c>
      <c r="H92" s="59" t="s">
        <v>3269</v>
      </c>
      <c r="I92" s="59" t="s">
        <v>3270</v>
      </c>
      <c r="J92" s="59" t="s">
        <v>3262</v>
      </c>
    </row>
    <row r="93" spans="1:12">
      <c r="A93" s="47" t="s">
        <v>2381</v>
      </c>
      <c r="B93" s="48" t="s">
        <v>2382</v>
      </c>
      <c r="C93" s="48">
        <v>4</v>
      </c>
      <c r="D93" s="48">
        <v>5</v>
      </c>
      <c r="E93" s="48">
        <v>2</v>
      </c>
      <c r="F93" s="48">
        <v>5</v>
      </c>
      <c r="G93" s="48">
        <v>5</v>
      </c>
      <c r="H93" s="48">
        <v>3</v>
      </c>
      <c r="I93" s="48">
        <v>4</v>
      </c>
      <c r="J93" s="60">
        <f>ROUND(SUMPRODUCT(C93:I93,{20,15,15,15,15,10,10})/5,1)</f>
        <v>81</v>
      </c>
    </row>
    <row r="94" spans="1:12">
      <c r="A94" s="51" t="s">
        <v>2393</v>
      </c>
      <c r="B94" s="52" t="s">
        <v>2394</v>
      </c>
      <c r="C94" s="52">
        <v>5</v>
      </c>
      <c r="D94" s="52">
        <v>5</v>
      </c>
      <c r="E94" s="52">
        <v>2</v>
      </c>
      <c r="F94" s="52">
        <v>5</v>
      </c>
      <c r="G94" s="52">
        <v>5</v>
      </c>
      <c r="H94" s="52">
        <v>4</v>
      </c>
      <c r="I94" s="52">
        <v>4</v>
      </c>
      <c r="J94" s="61">
        <f>ROUND(SUMPRODUCT(C94:I94,{20,15,15,15,15,10,10})/5,1)</f>
        <v>87</v>
      </c>
    </row>
    <row r="95" spans="1:12">
      <c r="A95" s="51" t="s">
        <v>2406</v>
      </c>
      <c r="B95" s="52" t="s">
        <v>2407</v>
      </c>
      <c r="C95" s="52">
        <v>4</v>
      </c>
      <c r="D95" s="52">
        <v>5</v>
      </c>
      <c r="E95" s="52">
        <v>2</v>
      </c>
      <c r="F95" s="52">
        <v>5</v>
      </c>
      <c r="G95" s="52">
        <v>3</v>
      </c>
      <c r="H95" s="52">
        <v>3</v>
      </c>
      <c r="I95" s="52">
        <v>4</v>
      </c>
      <c r="J95" s="61">
        <f>ROUND(SUMPRODUCT(C95:I95,{20,15,15,15,15,10,10})/5,1)</f>
        <v>75</v>
      </c>
    </row>
    <row r="96" spans="1:12">
      <c r="A96" s="51" t="s">
        <v>2418</v>
      </c>
      <c r="B96" s="52" t="s">
        <v>2419</v>
      </c>
      <c r="C96" s="52">
        <v>5</v>
      </c>
      <c r="D96" s="52">
        <v>5</v>
      </c>
      <c r="E96" s="52">
        <v>2</v>
      </c>
      <c r="F96" s="52">
        <v>5</v>
      </c>
      <c r="G96" s="52">
        <v>3</v>
      </c>
      <c r="H96" s="52">
        <v>3</v>
      </c>
      <c r="I96" s="52">
        <v>4</v>
      </c>
      <c r="J96" s="61">
        <f>ROUND(SUMPRODUCT(C96:I96,{20,15,15,15,15,10,10})/5,1)</f>
        <v>79</v>
      </c>
    </row>
    <row r="97" spans="1:10">
      <c r="A97" s="51" t="s">
        <v>2431</v>
      </c>
      <c r="B97" s="52" t="s">
        <v>2432</v>
      </c>
      <c r="C97" s="52">
        <v>5</v>
      </c>
      <c r="D97" s="52">
        <v>5</v>
      </c>
      <c r="E97" s="52">
        <v>2</v>
      </c>
      <c r="F97" s="52">
        <v>5</v>
      </c>
      <c r="G97" s="52">
        <v>3</v>
      </c>
      <c r="H97" s="52">
        <v>3</v>
      </c>
      <c r="I97" s="52">
        <v>4</v>
      </c>
      <c r="J97" s="61">
        <f>ROUND(SUMPRODUCT(C97:I97,{20,15,15,15,15,10,10})/5,1)</f>
        <v>79</v>
      </c>
    </row>
    <row r="98" spans="1:10">
      <c r="A98" s="51" t="s">
        <v>2444</v>
      </c>
      <c r="B98" s="52" t="s">
        <v>2445</v>
      </c>
      <c r="C98" s="52">
        <v>4</v>
      </c>
      <c r="D98" s="52">
        <v>5</v>
      </c>
      <c r="E98" s="52">
        <v>2</v>
      </c>
      <c r="F98" s="52">
        <v>5</v>
      </c>
      <c r="G98" s="52">
        <v>3</v>
      </c>
      <c r="H98" s="52">
        <v>3</v>
      </c>
      <c r="I98" s="52">
        <v>4</v>
      </c>
      <c r="J98" s="61">
        <f>ROUND(SUMPRODUCT(C98:I98,{20,15,15,15,15,10,10})/5,1)</f>
        <v>75</v>
      </c>
    </row>
    <row r="99" spans="1:10">
      <c r="A99" s="51" t="s">
        <v>2453</v>
      </c>
      <c r="B99" s="52" t="s">
        <v>2454</v>
      </c>
      <c r="C99" s="52">
        <v>5</v>
      </c>
      <c r="D99" s="52">
        <v>5</v>
      </c>
      <c r="E99" s="52">
        <v>2</v>
      </c>
      <c r="F99" s="52">
        <v>5</v>
      </c>
      <c r="G99" s="52">
        <v>3</v>
      </c>
      <c r="H99" s="52">
        <v>3</v>
      </c>
      <c r="I99" s="52">
        <v>4</v>
      </c>
      <c r="J99" s="61">
        <f>ROUND(SUMPRODUCT(C99:I99,{20,15,15,15,15,10,10})/5,1)</f>
        <v>79</v>
      </c>
    </row>
    <row r="100" spans="1:10">
      <c r="A100" s="51" t="s">
        <v>2462</v>
      </c>
      <c r="B100" s="52" t="s">
        <v>2463</v>
      </c>
      <c r="C100" s="52">
        <v>5</v>
      </c>
      <c r="D100" s="52">
        <v>5</v>
      </c>
      <c r="E100" s="52">
        <v>2</v>
      </c>
      <c r="F100" s="52">
        <v>5</v>
      </c>
      <c r="G100" s="52">
        <v>5</v>
      </c>
      <c r="H100" s="52">
        <v>4</v>
      </c>
      <c r="I100" s="52">
        <v>4</v>
      </c>
      <c r="J100" s="61">
        <f>ROUND(SUMPRODUCT(C100:I100,{20,15,15,15,15,10,10})/5,1)</f>
        <v>87</v>
      </c>
    </row>
    <row r="101" spans="1:10">
      <c r="A101" s="51" t="s">
        <v>2470</v>
      </c>
      <c r="B101" s="52" t="s">
        <v>2471</v>
      </c>
      <c r="C101" s="52">
        <v>5</v>
      </c>
      <c r="D101" s="52">
        <v>5</v>
      </c>
      <c r="E101" s="52">
        <v>2</v>
      </c>
      <c r="F101" s="52">
        <v>5</v>
      </c>
      <c r="G101" s="52">
        <v>5</v>
      </c>
      <c r="H101" s="52">
        <v>3</v>
      </c>
      <c r="I101" s="52">
        <v>4</v>
      </c>
      <c r="J101" s="61">
        <f>ROUND(SUMPRODUCT(C101:I101,{20,15,15,15,15,10,10})/5,1)</f>
        <v>85</v>
      </c>
    </row>
    <row r="102" spans="1:10">
      <c r="A102" s="51" t="s">
        <v>2483</v>
      </c>
      <c r="B102" s="52" t="s">
        <v>2484</v>
      </c>
      <c r="C102" s="52">
        <v>5</v>
      </c>
      <c r="D102" s="52">
        <v>5</v>
      </c>
      <c r="E102" s="52">
        <v>2</v>
      </c>
      <c r="F102" s="52">
        <v>5</v>
      </c>
      <c r="G102" s="52">
        <v>5</v>
      </c>
      <c r="H102" s="52">
        <v>4</v>
      </c>
      <c r="I102" s="52">
        <v>4</v>
      </c>
      <c r="J102" s="61">
        <f>ROUND(SUMPRODUCT(C102:I102,{20,15,15,15,15,10,10})/5,1)</f>
        <v>87</v>
      </c>
    </row>
    <row r="103" spans="1:10">
      <c r="A103" s="51" t="s">
        <v>2494</v>
      </c>
      <c r="B103" s="52" t="s">
        <v>2495</v>
      </c>
      <c r="C103" s="52">
        <v>5</v>
      </c>
      <c r="D103" s="52">
        <v>5</v>
      </c>
      <c r="E103" s="52">
        <v>2</v>
      </c>
      <c r="F103" s="52">
        <v>5</v>
      </c>
      <c r="G103" s="52">
        <v>3</v>
      </c>
      <c r="H103" s="52">
        <v>3</v>
      </c>
      <c r="I103" s="52">
        <v>4</v>
      </c>
      <c r="J103" s="61">
        <f>ROUND(SUMPRODUCT(C103:I103,{20,15,15,15,15,10,10})/5,1)</f>
        <v>79</v>
      </c>
    </row>
    <row r="104" spans="1:10">
      <c r="A104" s="51" t="s">
        <v>2505</v>
      </c>
      <c r="B104" s="52" t="s">
        <v>2506</v>
      </c>
      <c r="C104" s="52">
        <v>5</v>
      </c>
      <c r="D104" s="52">
        <v>5</v>
      </c>
      <c r="E104" s="52">
        <v>2</v>
      </c>
      <c r="F104" s="52">
        <v>5</v>
      </c>
      <c r="G104" s="52">
        <v>5</v>
      </c>
      <c r="H104" s="52">
        <v>3</v>
      </c>
      <c r="I104" s="52">
        <v>4</v>
      </c>
      <c r="J104" s="61">
        <f>ROUND(SUMPRODUCT(C104:I104,{20,15,15,15,15,10,10})/5,1)</f>
        <v>85</v>
      </c>
    </row>
    <row r="105" spans="1:10">
      <c r="A105" s="51" t="s">
        <v>2516</v>
      </c>
      <c r="B105" s="52" t="s">
        <v>2517</v>
      </c>
      <c r="C105" s="52">
        <v>4</v>
      </c>
      <c r="D105" s="52">
        <v>5</v>
      </c>
      <c r="E105" s="52">
        <v>2</v>
      </c>
      <c r="F105" s="52">
        <v>5</v>
      </c>
      <c r="G105" s="52">
        <v>3</v>
      </c>
      <c r="H105" s="52">
        <v>4</v>
      </c>
      <c r="I105" s="52">
        <v>4</v>
      </c>
      <c r="J105" s="61">
        <f>ROUND(SUMPRODUCT(C105:I105,{20,15,15,15,15,10,10})/5,1)</f>
        <v>77</v>
      </c>
    </row>
    <row r="106" spans="1:10">
      <c r="A106" s="51" t="s">
        <v>2528</v>
      </c>
      <c r="B106" s="52" t="s">
        <v>2529</v>
      </c>
      <c r="C106" s="52">
        <v>4</v>
      </c>
      <c r="D106" s="52">
        <v>5</v>
      </c>
      <c r="E106" s="52">
        <v>2</v>
      </c>
      <c r="F106" s="52">
        <v>5</v>
      </c>
      <c r="G106" s="52">
        <v>3</v>
      </c>
      <c r="H106" s="52">
        <v>4</v>
      </c>
      <c r="I106" s="52">
        <v>4</v>
      </c>
      <c r="J106" s="61">
        <f>ROUND(SUMPRODUCT(C106:I106,{20,15,15,15,15,10,10})/5,1)</f>
        <v>77</v>
      </c>
    </row>
    <row r="107" spans="1:10">
      <c r="A107" s="51" t="s">
        <v>2541</v>
      </c>
      <c r="B107" s="52" t="s">
        <v>2542</v>
      </c>
      <c r="C107" s="52">
        <v>4</v>
      </c>
      <c r="D107" s="52">
        <v>3</v>
      </c>
      <c r="E107" s="52">
        <v>3</v>
      </c>
      <c r="F107" s="52">
        <v>3</v>
      </c>
      <c r="G107" s="52">
        <v>3</v>
      </c>
      <c r="H107" s="52">
        <v>4</v>
      </c>
      <c r="I107" s="52">
        <v>5</v>
      </c>
      <c r="J107" s="61">
        <f>ROUND(SUMPRODUCT(C107:I107,{20,15,15,15,15,10,10})/5,1)</f>
        <v>70</v>
      </c>
    </row>
    <row r="108" ht="28" spans="1:10">
      <c r="A108" s="51" t="s">
        <v>2556</v>
      </c>
      <c r="B108" s="52" t="s">
        <v>2557</v>
      </c>
      <c r="C108" s="52">
        <v>4</v>
      </c>
      <c r="D108" s="52">
        <v>3</v>
      </c>
      <c r="E108" s="52">
        <v>3</v>
      </c>
      <c r="F108" s="52">
        <v>3</v>
      </c>
      <c r="G108" s="52">
        <v>3</v>
      </c>
      <c r="H108" s="52">
        <v>4</v>
      </c>
      <c r="I108" s="52">
        <v>5</v>
      </c>
      <c r="J108" s="61">
        <f>ROUND(SUMPRODUCT(C108:I108,{20,15,15,15,15,10,10})/5,1)</f>
        <v>70</v>
      </c>
    </row>
    <row r="109" spans="1:10">
      <c r="A109" s="51" t="s">
        <v>2559</v>
      </c>
      <c r="B109" s="52" t="s">
        <v>2560</v>
      </c>
      <c r="C109" s="52">
        <v>4</v>
      </c>
      <c r="D109" s="52">
        <v>3</v>
      </c>
      <c r="E109" s="52">
        <v>3</v>
      </c>
      <c r="F109" s="52">
        <v>3</v>
      </c>
      <c r="G109" s="52">
        <v>3</v>
      </c>
      <c r="H109" s="52">
        <v>4</v>
      </c>
      <c r="I109" s="52">
        <v>5</v>
      </c>
      <c r="J109" s="61">
        <f>ROUND(SUMPRODUCT(C109:I109,{20,15,15,15,15,10,10})/5,1)</f>
        <v>70</v>
      </c>
    </row>
    <row r="110" ht="28" spans="1:10">
      <c r="A110" s="51" t="s">
        <v>2565</v>
      </c>
      <c r="B110" s="52" t="s">
        <v>2566</v>
      </c>
      <c r="C110" s="52">
        <v>4</v>
      </c>
      <c r="D110" s="52">
        <v>3</v>
      </c>
      <c r="E110" s="52">
        <v>3</v>
      </c>
      <c r="F110" s="52">
        <v>3</v>
      </c>
      <c r="G110" s="52">
        <v>3</v>
      </c>
      <c r="H110" s="52">
        <v>4</v>
      </c>
      <c r="I110" s="52">
        <v>5</v>
      </c>
      <c r="J110" s="61">
        <f>ROUND(SUMPRODUCT(C110:I110,{20,15,15,15,15,10,10})/5,1)</f>
        <v>70</v>
      </c>
    </row>
    <row r="111" spans="1:10">
      <c r="A111" s="51" t="s">
        <v>2568</v>
      </c>
      <c r="B111" s="52" t="s">
        <v>2569</v>
      </c>
      <c r="C111" s="52">
        <v>5</v>
      </c>
      <c r="D111" s="52">
        <v>3</v>
      </c>
      <c r="E111" s="52">
        <v>3</v>
      </c>
      <c r="F111" s="52">
        <v>3</v>
      </c>
      <c r="G111" s="52">
        <v>3</v>
      </c>
      <c r="H111" s="52">
        <v>4</v>
      </c>
      <c r="I111" s="52">
        <v>5</v>
      </c>
      <c r="J111" s="61">
        <f>ROUND(SUMPRODUCT(C111:I111,{20,15,15,15,15,10,10})/5,1)</f>
        <v>74</v>
      </c>
    </row>
    <row r="112" spans="1:10">
      <c r="A112" s="51" t="s">
        <v>2573</v>
      </c>
      <c r="B112" s="52" t="s">
        <v>2574</v>
      </c>
      <c r="C112" s="52">
        <v>5</v>
      </c>
      <c r="D112" s="52">
        <v>3</v>
      </c>
      <c r="E112" s="52">
        <v>3</v>
      </c>
      <c r="F112" s="52">
        <v>3</v>
      </c>
      <c r="G112" s="52">
        <v>3</v>
      </c>
      <c r="H112" s="52">
        <v>4</v>
      </c>
      <c r="I112" s="52">
        <v>5</v>
      </c>
      <c r="J112" s="61">
        <f>ROUND(SUMPRODUCT(C112:I112,{20,15,15,15,15,10,10})/5,1)</f>
        <v>74</v>
      </c>
    </row>
    <row r="113" ht="28" spans="1:10">
      <c r="A113" s="51" t="s">
        <v>2577</v>
      </c>
      <c r="B113" s="52" t="s">
        <v>2578</v>
      </c>
      <c r="C113" s="52">
        <v>5</v>
      </c>
      <c r="D113" s="52">
        <v>3</v>
      </c>
      <c r="E113" s="52">
        <v>3</v>
      </c>
      <c r="F113" s="52">
        <v>3</v>
      </c>
      <c r="G113" s="52">
        <v>3</v>
      </c>
      <c r="H113" s="52">
        <v>4</v>
      </c>
      <c r="I113" s="52">
        <v>5</v>
      </c>
      <c r="J113" s="61">
        <f>ROUND(SUMPRODUCT(C113:I113,{20,15,15,15,15,10,10})/5,1)</f>
        <v>74</v>
      </c>
    </row>
    <row r="114" spans="1:10">
      <c r="A114" s="51" t="s">
        <v>2582</v>
      </c>
      <c r="B114" s="52" t="s">
        <v>2583</v>
      </c>
      <c r="C114" s="52">
        <v>4</v>
      </c>
      <c r="D114" s="52">
        <v>3</v>
      </c>
      <c r="E114" s="52">
        <v>3</v>
      </c>
      <c r="F114" s="52">
        <v>3</v>
      </c>
      <c r="G114" s="52">
        <v>3</v>
      </c>
      <c r="H114" s="52">
        <v>4</v>
      </c>
      <c r="I114" s="52">
        <v>5</v>
      </c>
      <c r="J114" s="61">
        <f>ROUND(SUMPRODUCT(C114:I114,{20,15,15,15,15,10,10})/5,1)</f>
        <v>70</v>
      </c>
    </row>
    <row r="115" spans="1:10">
      <c r="A115" s="51" t="s">
        <v>2586</v>
      </c>
      <c r="B115" s="52" t="s">
        <v>2587</v>
      </c>
      <c r="C115" s="52">
        <v>4</v>
      </c>
      <c r="D115" s="52">
        <v>3</v>
      </c>
      <c r="E115" s="52">
        <v>3</v>
      </c>
      <c r="F115" s="52">
        <v>3</v>
      </c>
      <c r="G115" s="52">
        <v>3</v>
      </c>
      <c r="H115" s="52">
        <v>4</v>
      </c>
      <c r="I115" s="52">
        <v>5</v>
      </c>
      <c r="J115" s="61">
        <f>ROUND(SUMPRODUCT(C115:I115,{20,15,15,15,15,10,10})/5,1)</f>
        <v>70</v>
      </c>
    </row>
    <row r="116" ht="28" spans="1:10">
      <c r="A116" s="51" t="s">
        <v>2590</v>
      </c>
      <c r="B116" s="52" t="s">
        <v>2591</v>
      </c>
      <c r="C116" s="52">
        <v>5</v>
      </c>
      <c r="D116" s="52">
        <v>3</v>
      </c>
      <c r="E116" s="52">
        <v>3</v>
      </c>
      <c r="F116" s="52">
        <v>3</v>
      </c>
      <c r="G116" s="52">
        <v>3</v>
      </c>
      <c r="H116" s="52">
        <v>4</v>
      </c>
      <c r="I116" s="52">
        <v>5</v>
      </c>
      <c r="J116" s="61">
        <f>ROUND(SUMPRODUCT(C116:I116,{20,15,15,15,15,10,10})/5,1)</f>
        <v>74</v>
      </c>
    </row>
    <row r="117" spans="1:10">
      <c r="A117" s="51" t="s">
        <v>2594</v>
      </c>
      <c r="B117" s="52" t="s">
        <v>2595</v>
      </c>
      <c r="C117" s="52">
        <v>4</v>
      </c>
      <c r="D117" s="52">
        <v>3</v>
      </c>
      <c r="E117" s="52">
        <v>3</v>
      </c>
      <c r="F117" s="52">
        <v>3</v>
      </c>
      <c r="G117" s="52">
        <v>3</v>
      </c>
      <c r="H117" s="52">
        <v>4</v>
      </c>
      <c r="I117" s="52">
        <v>5</v>
      </c>
      <c r="J117" s="61">
        <f>ROUND(SUMPRODUCT(C117:I117,{20,15,15,15,15,10,10})/5,1)</f>
        <v>70</v>
      </c>
    </row>
    <row r="118" ht="28" spans="1:10">
      <c r="A118" s="51" t="s">
        <v>2599</v>
      </c>
      <c r="B118" s="52" t="s">
        <v>2600</v>
      </c>
      <c r="C118" s="52">
        <v>4</v>
      </c>
      <c r="D118" s="52">
        <v>3</v>
      </c>
      <c r="E118" s="52">
        <v>3</v>
      </c>
      <c r="F118" s="52">
        <v>3</v>
      </c>
      <c r="G118" s="52">
        <v>3</v>
      </c>
      <c r="H118" s="52">
        <v>4</v>
      </c>
      <c r="I118" s="52">
        <v>5</v>
      </c>
      <c r="J118" s="61">
        <f>ROUND(SUMPRODUCT(C118:I118,{20,15,15,15,15,10,10})/5,1)</f>
        <v>70</v>
      </c>
    </row>
    <row r="119" ht="28" spans="1:10">
      <c r="A119" s="51" t="s">
        <v>2604</v>
      </c>
      <c r="B119" s="52" t="s">
        <v>2605</v>
      </c>
      <c r="C119" s="52">
        <v>5</v>
      </c>
      <c r="D119" s="52">
        <v>3</v>
      </c>
      <c r="E119" s="52">
        <v>3</v>
      </c>
      <c r="F119" s="52">
        <v>3</v>
      </c>
      <c r="G119" s="52">
        <v>3</v>
      </c>
      <c r="H119" s="52">
        <v>4</v>
      </c>
      <c r="I119" s="52">
        <v>5</v>
      </c>
      <c r="J119" s="61">
        <f>ROUND(SUMPRODUCT(C119:I119,{20,15,15,15,15,10,10})/5,1)</f>
        <v>74</v>
      </c>
    </row>
    <row r="120" ht="28" spans="1:10">
      <c r="A120" s="51" t="s">
        <v>2608</v>
      </c>
      <c r="B120" s="52" t="s">
        <v>2609</v>
      </c>
      <c r="C120" s="52">
        <v>5</v>
      </c>
      <c r="D120" s="52">
        <v>3</v>
      </c>
      <c r="E120" s="52">
        <v>3</v>
      </c>
      <c r="F120" s="52">
        <v>3</v>
      </c>
      <c r="G120" s="52">
        <v>3</v>
      </c>
      <c r="H120" s="52">
        <v>4</v>
      </c>
      <c r="I120" s="52">
        <v>5</v>
      </c>
      <c r="J120" s="61">
        <f>ROUND(SUMPRODUCT(C120:I120,{20,15,15,15,15,10,10})/5,1)</f>
        <v>74</v>
      </c>
    </row>
    <row r="121" ht="28" spans="1:10">
      <c r="A121" s="51" t="s">
        <v>2612</v>
      </c>
      <c r="B121" s="52" t="s">
        <v>2613</v>
      </c>
      <c r="C121" s="52">
        <v>5</v>
      </c>
      <c r="D121" s="52">
        <v>3</v>
      </c>
      <c r="E121" s="52">
        <v>3</v>
      </c>
      <c r="F121" s="52">
        <v>3</v>
      </c>
      <c r="G121" s="52">
        <v>3</v>
      </c>
      <c r="H121" s="52">
        <v>4</v>
      </c>
      <c r="I121" s="52">
        <v>5</v>
      </c>
      <c r="J121" s="61">
        <f>ROUND(SUMPRODUCT(C121:I121,{20,15,15,15,15,10,10})/5,1)</f>
        <v>74</v>
      </c>
    </row>
    <row r="122" spans="1:10">
      <c r="A122" s="51" t="s">
        <v>2617</v>
      </c>
      <c r="B122" s="52" t="s">
        <v>2618</v>
      </c>
      <c r="C122" s="52">
        <v>4</v>
      </c>
      <c r="D122" s="52">
        <v>3</v>
      </c>
      <c r="E122" s="52">
        <v>3</v>
      </c>
      <c r="F122" s="52">
        <v>3</v>
      </c>
      <c r="G122" s="52">
        <v>3</v>
      </c>
      <c r="H122" s="52">
        <v>4</v>
      </c>
      <c r="I122" s="52">
        <v>5</v>
      </c>
      <c r="J122" s="61">
        <f>ROUND(SUMPRODUCT(C122:I122,{20,15,15,15,15,10,10})/5,1)</f>
        <v>70</v>
      </c>
    </row>
    <row r="123" ht="28" spans="1:10">
      <c r="A123" s="51" t="s">
        <v>2621</v>
      </c>
      <c r="B123" s="52" t="s">
        <v>2622</v>
      </c>
      <c r="C123" s="52">
        <v>5</v>
      </c>
      <c r="D123" s="52">
        <v>3</v>
      </c>
      <c r="E123" s="52">
        <v>3</v>
      </c>
      <c r="F123" s="52">
        <v>3</v>
      </c>
      <c r="G123" s="52">
        <v>3</v>
      </c>
      <c r="H123" s="52">
        <v>4</v>
      </c>
      <c r="I123" s="52">
        <v>5</v>
      </c>
      <c r="J123" s="61">
        <f>ROUND(SUMPRODUCT(C123:I123,{20,15,15,15,15,10,10})/5,1)</f>
        <v>74</v>
      </c>
    </row>
    <row r="124" ht="28" spans="1:10">
      <c r="A124" s="51" t="s">
        <v>2626</v>
      </c>
      <c r="B124" s="52" t="s">
        <v>2627</v>
      </c>
      <c r="C124" s="52">
        <v>5</v>
      </c>
      <c r="D124" s="52">
        <v>3</v>
      </c>
      <c r="E124" s="52">
        <v>3</v>
      </c>
      <c r="F124" s="52">
        <v>3</v>
      </c>
      <c r="G124" s="52">
        <v>3</v>
      </c>
      <c r="H124" s="52">
        <v>4</v>
      </c>
      <c r="I124" s="52">
        <v>5</v>
      </c>
      <c r="J124" s="61">
        <f>ROUND(SUMPRODUCT(C124:I124,{20,15,15,15,15,10,10})/5,1)</f>
        <v>74</v>
      </c>
    </row>
    <row r="125" ht="28" spans="1:10">
      <c r="A125" s="51" t="s">
        <v>2632</v>
      </c>
      <c r="B125" s="52" t="s">
        <v>2633</v>
      </c>
      <c r="C125" s="52">
        <v>5</v>
      </c>
      <c r="D125" s="52">
        <v>5</v>
      </c>
      <c r="E125" s="52">
        <v>3</v>
      </c>
      <c r="F125" s="52">
        <v>5</v>
      </c>
      <c r="G125" s="52">
        <v>3</v>
      </c>
      <c r="H125" s="52">
        <v>4</v>
      </c>
      <c r="I125" s="52">
        <v>5</v>
      </c>
      <c r="J125" s="61">
        <f>ROUND(SUMPRODUCT(C125:I125,{20,15,15,15,15,10,10})/5,1)</f>
        <v>86</v>
      </c>
    </row>
    <row r="126" spans="1:10">
      <c r="A126" s="51" t="s">
        <v>2638</v>
      </c>
      <c r="B126" s="52" t="s">
        <v>2639</v>
      </c>
      <c r="C126" s="52">
        <v>4</v>
      </c>
      <c r="D126" s="52">
        <v>3</v>
      </c>
      <c r="E126" s="52">
        <v>3</v>
      </c>
      <c r="F126" s="52">
        <v>3</v>
      </c>
      <c r="G126" s="52">
        <v>3</v>
      </c>
      <c r="H126" s="52">
        <v>4</v>
      </c>
      <c r="I126" s="52">
        <v>5</v>
      </c>
      <c r="J126" s="61">
        <f>ROUND(SUMPRODUCT(C126:I126,{20,15,15,15,15,10,10})/5,1)</f>
        <v>70</v>
      </c>
    </row>
    <row r="127" spans="1:10">
      <c r="A127" s="51" t="s">
        <v>2642</v>
      </c>
      <c r="B127" s="52" t="s">
        <v>2643</v>
      </c>
      <c r="C127" s="52">
        <v>4</v>
      </c>
      <c r="D127" s="52">
        <v>3</v>
      </c>
      <c r="E127" s="52">
        <v>3</v>
      </c>
      <c r="F127" s="52">
        <v>3</v>
      </c>
      <c r="G127" s="52">
        <v>3</v>
      </c>
      <c r="H127" s="52">
        <v>4</v>
      </c>
      <c r="I127" s="52">
        <v>5</v>
      </c>
      <c r="J127" s="61">
        <f>ROUND(SUMPRODUCT(C127:I127,{20,15,15,15,15,10,10})/5,1)</f>
        <v>70</v>
      </c>
    </row>
    <row r="128" spans="1:10">
      <c r="A128" s="51" t="s">
        <v>2646</v>
      </c>
      <c r="B128" s="52" t="s">
        <v>2647</v>
      </c>
      <c r="C128" s="52">
        <v>4</v>
      </c>
      <c r="D128" s="52">
        <v>3</v>
      </c>
      <c r="E128" s="52">
        <v>3</v>
      </c>
      <c r="F128" s="52">
        <v>3</v>
      </c>
      <c r="G128" s="52">
        <v>3</v>
      </c>
      <c r="H128" s="52">
        <v>4</v>
      </c>
      <c r="I128" s="52">
        <v>5</v>
      </c>
      <c r="J128" s="61">
        <f>ROUND(SUMPRODUCT(C128:I128,{20,15,15,15,15,10,10})/5,1)</f>
        <v>70</v>
      </c>
    </row>
    <row r="129" spans="1:10">
      <c r="A129" s="51" t="s">
        <v>2649</v>
      </c>
      <c r="B129" s="52" t="s">
        <v>2650</v>
      </c>
      <c r="C129" s="52">
        <v>4</v>
      </c>
      <c r="D129" s="52">
        <v>3</v>
      </c>
      <c r="E129" s="52">
        <v>3</v>
      </c>
      <c r="F129" s="52">
        <v>3</v>
      </c>
      <c r="G129" s="52">
        <v>3</v>
      </c>
      <c r="H129" s="52">
        <v>4</v>
      </c>
      <c r="I129" s="52">
        <v>5</v>
      </c>
      <c r="J129" s="61">
        <f>ROUND(SUMPRODUCT(C129:I129,{20,15,15,15,15,10,10})/5,1)</f>
        <v>70</v>
      </c>
    </row>
    <row r="130" ht="28" spans="1:10">
      <c r="A130" s="51" t="s">
        <v>2652</v>
      </c>
      <c r="B130" s="52" t="s">
        <v>2653</v>
      </c>
      <c r="C130" s="52">
        <v>4</v>
      </c>
      <c r="D130" s="52">
        <v>3</v>
      </c>
      <c r="E130" s="52">
        <v>3</v>
      </c>
      <c r="F130" s="52">
        <v>3</v>
      </c>
      <c r="G130" s="52">
        <v>3</v>
      </c>
      <c r="H130" s="52">
        <v>4</v>
      </c>
      <c r="I130" s="52">
        <v>5</v>
      </c>
      <c r="J130" s="61">
        <f>ROUND(SUMPRODUCT(C130:I130,{20,15,15,15,15,10,10})/5,1)</f>
        <v>70</v>
      </c>
    </row>
    <row r="131" ht="28" spans="1:10">
      <c r="A131" s="51" t="s">
        <v>2657</v>
      </c>
      <c r="B131" s="52" t="s">
        <v>2658</v>
      </c>
      <c r="C131" s="52">
        <v>4</v>
      </c>
      <c r="D131" s="52">
        <v>3</v>
      </c>
      <c r="E131" s="52">
        <v>3</v>
      </c>
      <c r="F131" s="52">
        <v>3</v>
      </c>
      <c r="G131" s="52">
        <v>3</v>
      </c>
      <c r="H131" s="52">
        <v>4</v>
      </c>
      <c r="I131" s="52">
        <v>5</v>
      </c>
      <c r="J131" s="61">
        <f>ROUND(SUMPRODUCT(C131:I131,{20,15,15,15,15,10,10})/5,1)</f>
        <v>70</v>
      </c>
    </row>
    <row r="132" ht="28" spans="1:10">
      <c r="A132" s="51" t="s">
        <v>2663</v>
      </c>
      <c r="B132" s="52" t="s">
        <v>2664</v>
      </c>
      <c r="C132" s="52">
        <v>5</v>
      </c>
      <c r="D132" s="52">
        <v>3</v>
      </c>
      <c r="E132" s="52">
        <v>3</v>
      </c>
      <c r="F132" s="52">
        <v>3</v>
      </c>
      <c r="G132" s="52">
        <v>3</v>
      </c>
      <c r="H132" s="52">
        <v>4</v>
      </c>
      <c r="I132" s="52">
        <v>5</v>
      </c>
      <c r="J132" s="61">
        <f>ROUND(SUMPRODUCT(C132:I132,{20,15,15,15,15,10,10})/5,1)</f>
        <v>74</v>
      </c>
    </row>
    <row r="133" ht="28" spans="1:10">
      <c r="A133" s="51" t="s">
        <v>2667</v>
      </c>
      <c r="B133" s="52" t="s">
        <v>2668</v>
      </c>
      <c r="C133" s="52">
        <v>5</v>
      </c>
      <c r="D133" s="52">
        <v>3</v>
      </c>
      <c r="E133" s="52">
        <v>3</v>
      </c>
      <c r="F133" s="52">
        <v>3</v>
      </c>
      <c r="G133" s="52">
        <v>3</v>
      </c>
      <c r="H133" s="52">
        <v>4</v>
      </c>
      <c r="I133" s="52">
        <v>5</v>
      </c>
      <c r="J133" s="61">
        <f>ROUND(SUMPRODUCT(C133:I133,{20,15,15,15,15,10,10})/5,1)</f>
        <v>74</v>
      </c>
    </row>
    <row r="134" spans="1:10">
      <c r="A134" s="51" t="s">
        <v>2674</v>
      </c>
      <c r="B134" s="52" t="s">
        <v>2675</v>
      </c>
      <c r="C134" s="52">
        <v>5</v>
      </c>
      <c r="D134" s="52">
        <v>3</v>
      </c>
      <c r="E134" s="52">
        <v>3</v>
      </c>
      <c r="F134" s="52">
        <v>3</v>
      </c>
      <c r="G134" s="52">
        <v>3</v>
      </c>
      <c r="H134" s="52">
        <v>4</v>
      </c>
      <c r="I134" s="52">
        <v>5</v>
      </c>
      <c r="J134" s="61">
        <f>ROUND(SUMPRODUCT(C134:I134,{20,15,15,15,15,10,10})/5,1)</f>
        <v>74</v>
      </c>
    </row>
    <row r="135" ht="28" spans="1:10">
      <c r="A135" s="51" t="s">
        <v>2678</v>
      </c>
      <c r="B135" s="52" t="s">
        <v>2679</v>
      </c>
      <c r="C135" s="52">
        <v>4</v>
      </c>
      <c r="D135" s="52">
        <v>3</v>
      </c>
      <c r="E135" s="52">
        <v>3</v>
      </c>
      <c r="F135" s="52">
        <v>3</v>
      </c>
      <c r="G135" s="52">
        <v>3</v>
      </c>
      <c r="H135" s="52">
        <v>4</v>
      </c>
      <c r="I135" s="52">
        <v>5</v>
      </c>
      <c r="J135" s="61">
        <f>ROUND(SUMPRODUCT(C135:I135,{20,15,15,15,15,10,10})/5,1)</f>
        <v>70</v>
      </c>
    </row>
    <row r="136" spans="1:10">
      <c r="A136" s="51" t="s">
        <v>2683</v>
      </c>
      <c r="B136" s="52" t="s">
        <v>2684</v>
      </c>
      <c r="C136" s="52">
        <v>4</v>
      </c>
      <c r="D136" s="52">
        <v>3</v>
      </c>
      <c r="E136" s="52">
        <v>3</v>
      </c>
      <c r="F136" s="52">
        <v>3</v>
      </c>
      <c r="G136" s="52">
        <v>3</v>
      </c>
      <c r="H136" s="52">
        <v>4</v>
      </c>
      <c r="I136" s="52">
        <v>5</v>
      </c>
      <c r="J136" s="61">
        <f>ROUND(SUMPRODUCT(C136:I136,{20,15,15,15,15,10,10})/5,1)</f>
        <v>70</v>
      </c>
    </row>
    <row r="137" ht="28" spans="1:10">
      <c r="A137" s="51" t="s">
        <v>2688</v>
      </c>
      <c r="B137" s="52" t="s">
        <v>2689</v>
      </c>
      <c r="C137" s="52">
        <v>5</v>
      </c>
      <c r="D137" s="52">
        <v>3</v>
      </c>
      <c r="E137" s="52">
        <v>3</v>
      </c>
      <c r="F137" s="52">
        <v>3</v>
      </c>
      <c r="G137" s="52">
        <v>3</v>
      </c>
      <c r="H137" s="52">
        <v>4</v>
      </c>
      <c r="I137" s="52">
        <v>5</v>
      </c>
      <c r="J137" s="61">
        <f>ROUND(SUMPRODUCT(C137:I137,{20,15,15,15,15,10,10})/5,1)</f>
        <v>74</v>
      </c>
    </row>
    <row r="138" spans="1:10">
      <c r="A138" s="51" t="s">
        <v>2691</v>
      </c>
      <c r="B138" s="52" t="s">
        <v>2692</v>
      </c>
      <c r="C138" s="52">
        <v>4</v>
      </c>
      <c r="D138" s="52">
        <v>3</v>
      </c>
      <c r="E138" s="52">
        <v>3</v>
      </c>
      <c r="F138" s="52">
        <v>3</v>
      </c>
      <c r="G138" s="52">
        <v>3</v>
      </c>
      <c r="H138" s="52">
        <v>4</v>
      </c>
      <c r="I138" s="52">
        <v>5</v>
      </c>
      <c r="J138" s="61">
        <f>ROUND(SUMPRODUCT(C138:I138,{20,15,15,15,15,10,10})/5,1)</f>
        <v>70</v>
      </c>
    </row>
    <row r="139" spans="1:10">
      <c r="A139" s="51" t="s">
        <v>2695</v>
      </c>
      <c r="B139" s="52" t="s">
        <v>2696</v>
      </c>
      <c r="C139" s="52">
        <v>5</v>
      </c>
      <c r="D139" s="52">
        <v>5</v>
      </c>
      <c r="E139" s="52">
        <v>5</v>
      </c>
      <c r="F139" s="52">
        <v>3</v>
      </c>
      <c r="G139" s="52">
        <v>3</v>
      </c>
      <c r="H139" s="52">
        <v>4</v>
      </c>
      <c r="I139" s="52">
        <v>5</v>
      </c>
      <c r="J139" s="61">
        <f>ROUND(SUMPRODUCT(C139:I139,{20,15,15,15,15,10,10})/5,1)</f>
        <v>86</v>
      </c>
    </row>
    <row r="140" spans="1:10">
      <c r="A140" s="51" t="s">
        <v>2709</v>
      </c>
      <c r="B140" s="52" t="s">
        <v>2710</v>
      </c>
      <c r="C140" s="52">
        <v>5</v>
      </c>
      <c r="D140" s="52">
        <v>4</v>
      </c>
      <c r="E140" s="52">
        <v>5</v>
      </c>
      <c r="F140" s="52">
        <v>3</v>
      </c>
      <c r="G140" s="52">
        <v>3</v>
      </c>
      <c r="H140" s="52">
        <v>4</v>
      </c>
      <c r="I140" s="52">
        <v>5</v>
      </c>
      <c r="J140" s="61">
        <f>ROUND(SUMPRODUCT(C140:I140,{20,15,15,15,15,10,10})/5,1)</f>
        <v>83</v>
      </c>
    </row>
    <row r="141" spans="1:10">
      <c r="A141" s="51" t="s">
        <v>2720</v>
      </c>
      <c r="B141" s="52" t="s">
        <v>2721</v>
      </c>
      <c r="C141" s="52">
        <v>4</v>
      </c>
      <c r="D141" s="52">
        <v>4</v>
      </c>
      <c r="E141" s="52">
        <v>5</v>
      </c>
      <c r="F141" s="52">
        <v>3</v>
      </c>
      <c r="G141" s="52">
        <v>3</v>
      </c>
      <c r="H141" s="52">
        <v>4</v>
      </c>
      <c r="I141" s="52">
        <v>5</v>
      </c>
      <c r="J141" s="61">
        <f>ROUND(SUMPRODUCT(C141:I141,{20,15,15,15,15,10,10})/5,1)</f>
        <v>79</v>
      </c>
    </row>
    <row r="142" spans="1:10">
      <c r="A142" s="51" t="s">
        <v>2733</v>
      </c>
      <c r="B142" s="52" t="s">
        <v>2734</v>
      </c>
      <c r="C142" s="52">
        <v>4</v>
      </c>
      <c r="D142" s="52">
        <v>4</v>
      </c>
      <c r="E142" s="52">
        <v>5</v>
      </c>
      <c r="F142" s="52">
        <v>3</v>
      </c>
      <c r="G142" s="52">
        <v>3</v>
      </c>
      <c r="H142" s="52">
        <v>4</v>
      </c>
      <c r="I142" s="52">
        <v>5</v>
      </c>
      <c r="J142" s="61">
        <f>ROUND(SUMPRODUCT(C142:I142,{20,15,15,15,15,10,10})/5,1)</f>
        <v>79</v>
      </c>
    </row>
    <row r="143" spans="1:10">
      <c r="A143" s="51" t="s">
        <v>2746</v>
      </c>
      <c r="B143" s="52" t="s">
        <v>2747</v>
      </c>
      <c r="C143" s="52">
        <v>5</v>
      </c>
      <c r="D143" s="52">
        <v>5</v>
      </c>
      <c r="E143" s="52">
        <v>5</v>
      </c>
      <c r="F143" s="52">
        <v>3</v>
      </c>
      <c r="G143" s="52">
        <v>3</v>
      </c>
      <c r="H143" s="52">
        <v>3</v>
      </c>
      <c r="I143" s="52">
        <v>5</v>
      </c>
      <c r="J143" s="61">
        <f>ROUND(SUMPRODUCT(C143:I143,{20,15,15,15,15,10,10})/5,1)</f>
        <v>84</v>
      </c>
    </row>
    <row r="144" spans="1:10">
      <c r="A144" s="51" t="s">
        <v>2759</v>
      </c>
      <c r="B144" s="52" t="s">
        <v>2760</v>
      </c>
      <c r="C144" s="52">
        <v>5</v>
      </c>
      <c r="D144" s="52">
        <v>5</v>
      </c>
      <c r="E144" s="52">
        <v>2</v>
      </c>
      <c r="F144" s="52">
        <v>5</v>
      </c>
      <c r="G144" s="52">
        <v>5</v>
      </c>
      <c r="H144" s="52">
        <v>3</v>
      </c>
      <c r="I144" s="52">
        <v>5</v>
      </c>
      <c r="J144" s="61">
        <f>ROUND(SUMPRODUCT(C144:I144,{20,15,15,15,15,10,10})/5,1)</f>
        <v>87</v>
      </c>
    </row>
    <row r="145" spans="1:10">
      <c r="A145" s="51" t="s">
        <v>2770</v>
      </c>
      <c r="B145" s="52" t="s">
        <v>2771</v>
      </c>
      <c r="C145" s="52">
        <v>5</v>
      </c>
      <c r="D145" s="52">
        <v>5</v>
      </c>
      <c r="E145" s="52">
        <v>2</v>
      </c>
      <c r="F145" s="52">
        <v>5</v>
      </c>
      <c r="G145" s="52">
        <v>5</v>
      </c>
      <c r="H145" s="52">
        <v>4</v>
      </c>
      <c r="I145" s="52">
        <v>3</v>
      </c>
      <c r="J145" s="61">
        <f>ROUND(SUMPRODUCT(C145:I145,{20,15,15,15,15,10,10})/5,1)</f>
        <v>85</v>
      </c>
    </row>
    <row r="146" spans="1:10">
      <c r="A146" s="55" t="s">
        <v>2781</v>
      </c>
      <c r="B146" s="56" t="s">
        <v>2782</v>
      </c>
      <c r="C146" s="56">
        <v>5</v>
      </c>
      <c r="D146" s="56">
        <v>5</v>
      </c>
      <c r="E146" s="56">
        <v>2</v>
      </c>
      <c r="F146" s="56">
        <v>5</v>
      </c>
      <c r="G146" s="56">
        <v>3</v>
      </c>
      <c r="H146" s="56">
        <v>3</v>
      </c>
      <c r="I146" s="56">
        <v>3</v>
      </c>
      <c r="J146" s="62">
        <f>ROUND(SUMPRODUCT(C146:I146,{20,15,15,15,15,10,10})/5,1)</f>
        <v>77</v>
      </c>
    </row>
  </sheetData>
  <mergeCells count="3">
    <mergeCell ref="A1:R1"/>
    <mergeCell ref="A2:R2"/>
    <mergeCell ref="A4:F4"/>
  </mergeCells>
  <conditionalFormatting sqref="J93:J146">
    <cfRule type="colorScale" priority="3">
      <colorScale>
        <cfvo type="min"/>
        <cfvo type="percentile" val="50"/>
        <cfvo type="max"/>
        <color rgb="FFF8696B"/>
        <color rgb="FFFFEB84"/>
        <color rgb="FF63BE7B"/>
      </colorScale>
    </cfRule>
  </conditionalFormatting>
  <conditionalFormatting sqref="K23:K88">
    <cfRule type="colorScale" priority="2">
      <colorScale>
        <cfvo type="min"/>
        <cfvo type="percentile" val="50"/>
        <cfvo type="max"/>
        <color rgb="FFF8696B"/>
        <color rgb="FFFFEB84"/>
        <color rgb="FF63BE7B"/>
      </colorScale>
    </cfRule>
  </conditionalFormatting>
  <conditionalFormatting sqref="T6:T8">
    <cfRule type="colorScale" priority="1">
      <colorScale>
        <cfvo type="min"/>
        <cfvo type="percentile" val="50"/>
        <cfvo type="max"/>
        <color rgb="FFF8696B"/>
        <color rgb="FFFFEB84"/>
        <color rgb="FF63BE7B"/>
      </colorScale>
    </cfRule>
  </conditionalFormatting>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showGridLines="0" zoomScale="88" zoomScaleNormal="88" topLeftCell="A43" workbookViewId="0">
      <selection activeCell="T7" sqref="T7"/>
    </sheetView>
  </sheetViews>
  <sheetFormatPr defaultColWidth="9" defaultRowHeight="16.8"/>
  <cols>
    <col min="1" max="1" width="9" customWidth="1"/>
    <col min="2" max="2" width="32" customWidth="1"/>
    <col min="3" max="4" width="10" customWidth="1"/>
    <col min="5" max="5" width="11" customWidth="1"/>
    <col min="6" max="6" width="12" customWidth="1"/>
    <col min="7" max="7" width="11" customWidth="1"/>
    <col min="8" max="8" width="10" customWidth="1"/>
    <col min="9" max="9" width="11" customWidth="1"/>
    <col min="10" max="10" width="13" customWidth="1"/>
    <col min="11" max="11" width="14" customWidth="1"/>
    <col min="12" max="12" width="13" customWidth="1"/>
    <col min="13" max="13" width="11" customWidth="1"/>
    <col min="14" max="16" width="14" customWidth="1"/>
    <col min="17" max="18" width="13" customWidth="1"/>
    <col min="19" max="19" width="16" customWidth="1"/>
    <col min="20" max="20" width="14" customWidth="1"/>
    <col min="21" max="21" width="16" customWidth="1"/>
    <col min="22" max="22" width="26" customWidth="1"/>
    <col min="23" max="23" width="48" customWidth="1"/>
    <col min="24" max="24" width="42" customWidth="1"/>
  </cols>
  <sheetData>
    <row r="1" ht="32" customHeight="1" spans="1:24">
      <c r="A1" s="20" t="s">
        <v>3271</v>
      </c>
      <c r="B1" s="20"/>
      <c r="C1" s="20"/>
      <c r="D1" s="20"/>
      <c r="E1" s="20"/>
      <c r="F1" s="20"/>
      <c r="G1" s="20"/>
      <c r="H1" s="20"/>
      <c r="I1" s="20"/>
      <c r="J1" s="20"/>
      <c r="K1" s="20"/>
      <c r="L1" s="20"/>
      <c r="M1" s="20"/>
      <c r="N1" s="20"/>
      <c r="O1" s="20"/>
      <c r="P1" s="20"/>
      <c r="Q1" s="20"/>
      <c r="R1" s="20"/>
      <c r="S1" s="20"/>
      <c r="T1" s="20"/>
      <c r="U1" s="20"/>
      <c r="V1" s="20"/>
      <c r="W1" s="20"/>
      <c r="X1" s="20"/>
    </row>
    <row r="2" ht="28" customHeight="1" spans="1:24">
      <c r="A2" s="21" t="s">
        <v>3272</v>
      </c>
      <c r="B2" s="21"/>
      <c r="C2" s="21"/>
      <c r="D2" s="21"/>
      <c r="E2" s="21"/>
      <c r="F2" s="21"/>
      <c r="G2" s="21"/>
      <c r="H2" s="21"/>
      <c r="I2" s="21"/>
      <c r="J2" s="21"/>
      <c r="K2" s="21"/>
      <c r="L2" s="21"/>
      <c r="M2" s="21"/>
      <c r="N2" s="21"/>
      <c r="O2" s="21"/>
      <c r="P2" s="21"/>
      <c r="Q2" s="21"/>
      <c r="R2" s="21"/>
      <c r="S2" s="21"/>
      <c r="T2" s="21"/>
      <c r="U2" s="21"/>
      <c r="V2" s="21"/>
      <c r="W2" s="21"/>
      <c r="X2" s="21"/>
    </row>
    <row r="4" ht="36" customHeight="1" spans="1:24">
      <c r="A4" s="22" t="s">
        <v>3273</v>
      </c>
      <c r="B4" s="22" t="s">
        <v>3274</v>
      </c>
      <c r="C4" s="22" t="s">
        <v>3275</v>
      </c>
      <c r="D4" s="22" t="s">
        <v>3276</v>
      </c>
      <c r="E4" s="22" t="s">
        <v>897</v>
      </c>
      <c r="F4" s="22" t="s">
        <v>3277</v>
      </c>
      <c r="G4" s="22" t="s">
        <v>3278</v>
      </c>
      <c r="H4" s="22" t="s">
        <v>3279</v>
      </c>
      <c r="I4" s="22" t="s">
        <v>3280</v>
      </c>
      <c r="J4" s="22" t="s">
        <v>3281</v>
      </c>
      <c r="K4" s="22" t="s">
        <v>3282</v>
      </c>
      <c r="L4" s="22" t="s">
        <v>3283</v>
      </c>
      <c r="M4" s="22" t="s">
        <v>3284</v>
      </c>
      <c r="N4" s="22" t="s">
        <v>3285</v>
      </c>
      <c r="O4" s="22" t="s">
        <v>3286</v>
      </c>
      <c r="P4" s="22" t="s">
        <v>3287</v>
      </c>
      <c r="Q4" s="22" t="s">
        <v>3288</v>
      </c>
      <c r="R4" s="22" t="s">
        <v>3289</v>
      </c>
      <c r="S4" s="22" t="s">
        <v>3290</v>
      </c>
      <c r="T4" s="22" t="s">
        <v>3291</v>
      </c>
      <c r="U4" s="22" t="s">
        <v>90</v>
      </c>
      <c r="V4" s="22" t="s">
        <v>91</v>
      </c>
      <c r="W4" s="22" t="s">
        <v>3292</v>
      </c>
      <c r="X4" s="22" t="s">
        <v>3293</v>
      </c>
    </row>
    <row r="5" ht="28" spans="1:24">
      <c r="A5" s="23" t="s">
        <v>3294</v>
      </c>
      <c r="B5" s="24" t="s">
        <v>3295</v>
      </c>
      <c r="C5" s="24" t="s">
        <v>3296</v>
      </c>
      <c r="D5" s="25">
        <v>2</v>
      </c>
      <c r="E5" s="25">
        <v>20</v>
      </c>
      <c r="F5" s="25">
        <v>12</v>
      </c>
      <c r="G5" s="26">
        <v>0.1</v>
      </c>
      <c r="H5" s="25">
        <v>5</v>
      </c>
      <c r="I5" s="25">
        <v>0.5</v>
      </c>
      <c r="J5" s="25">
        <v>9.6</v>
      </c>
      <c r="K5" s="25">
        <v>0</v>
      </c>
      <c r="L5" s="25">
        <v>0</v>
      </c>
      <c r="M5" s="25">
        <v>0</v>
      </c>
      <c r="N5" s="27">
        <f t="shared" ref="N5:N16" si="0">I5*J5+K5*L5/10000+M5</f>
        <v>4.8</v>
      </c>
      <c r="O5" s="27">
        <f t="shared" ref="O5:O16" si="1">(D5*E5+F5)*G5</f>
        <v>5.2</v>
      </c>
      <c r="P5" s="27">
        <f t="shared" ref="P5:P16" si="2">N5-O5</f>
        <v>-0.4</v>
      </c>
      <c r="Q5" s="27">
        <f t="shared" ref="Q5:Q16" si="3">D5*E5+F5</f>
        <v>52</v>
      </c>
      <c r="R5" s="27" t="str">
        <f t="shared" ref="R5:R16" si="4">IF(P5&gt;0,Q5/P5,"")</f>
        <v/>
      </c>
      <c r="S5" s="27">
        <f t="shared" ref="S5:S16" si="5">P5*H5-Q5</f>
        <v>-54</v>
      </c>
      <c r="T5" s="28">
        <f t="shared" ref="T5:T16" si="6">IF(Q5&gt;0,S5/Q5,"")</f>
        <v>-1.03846153846154</v>
      </c>
      <c r="U5" s="24" t="s">
        <v>3297</v>
      </c>
      <c r="V5" s="24" t="s">
        <v>3298</v>
      </c>
      <c r="W5" s="24" t="s">
        <v>3299</v>
      </c>
      <c r="X5" s="29" t="s">
        <v>3300</v>
      </c>
    </row>
    <row r="6" ht="28" spans="1:24">
      <c r="A6" s="30" t="s">
        <v>3294</v>
      </c>
      <c r="B6" s="31" t="s">
        <v>3295</v>
      </c>
      <c r="C6" s="31" t="s">
        <v>3301</v>
      </c>
      <c r="D6" s="32">
        <v>3</v>
      </c>
      <c r="E6" s="32">
        <v>15</v>
      </c>
      <c r="F6" s="32">
        <v>10</v>
      </c>
      <c r="G6" s="33">
        <v>0.08</v>
      </c>
      <c r="H6" s="32">
        <v>5</v>
      </c>
      <c r="I6" s="32">
        <v>1.2</v>
      </c>
      <c r="J6" s="32">
        <v>9.6</v>
      </c>
      <c r="K6" s="32">
        <v>0</v>
      </c>
      <c r="L6" s="32">
        <v>0</v>
      </c>
      <c r="M6" s="32">
        <v>5</v>
      </c>
      <c r="N6" s="34">
        <f t="shared" si="0"/>
        <v>16.52</v>
      </c>
      <c r="O6" s="34">
        <f t="shared" si="1"/>
        <v>4.4</v>
      </c>
      <c r="P6" s="34">
        <f t="shared" si="2"/>
        <v>12.12</v>
      </c>
      <c r="Q6" s="34">
        <f t="shared" si="3"/>
        <v>55</v>
      </c>
      <c r="R6" s="34">
        <f t="shared" si="4"/>
        <v>4.53795379537954</v>
      </c>
      <c r="S6" s="34">
        <f t="shared" si="5"/>
        <v>5.59999999999999</v>
      </c>
      <c r="T6" s="35">
        <f t="shared" si="6"/>
        <v>0.101818181818182</v>
      </c>
      <c r="U6" s="31" t="s">
        <v>3297</v>
      </c>
      <c r="V6" s="31" t="s">
        <v>3298</v>
      </c>
      <c r="W6" s="31" t="s">
        <v>3302</v>
      </c>
      <c r="X6" s="36" t="s">
        <v>3303</v>
      </c>
    </row>
    <row r="7" ht="28" spans="1:24">
      <c r="A7" s="30" t="s">
        <v>3294</v>
      </c>
      <c r="B7" s="31" t="s">
        <v>3295</v>
      </c>
      <c r="C7" s="31" t="s">
        <v>3304</v>
      </c>
      <c r="D7" s="32">
        <v>4</v>
      </c>
      <c r="E7" s="32">
        <v>12</v>
      </c>
      <c r="F7" s="32">
        <v>8</v>
      </c>
      <c r="G7" s="33">
        <v>0.06</v>
      </c>
      <c r="H7" s="32">
        <v>5</v>
      </c>
      <c r="I7" s="32">
        <v>2</v>
      </c>
      <c r="J7" s="32">
        <v>10.8</v>
      </c>
      <c r="K7" s="32">
        <v>0</v>
      </c>
      <c r="L7" s="32">
        <v>0</v>
      </c>
      <c r="M7" s="32">
        <v>10</v>
      </c>
      <c r="N7" s="34">
        <f t="shared" si="0"/>
        <v>31.6</v>
      </c>
      <c r="O7" s="34">
        <f t="shared" si="1"/>
        <v>3.36</v>
      </c>
      <c r="P7" s="34">
        <f t="shared" si="2"/>
        <v>28.24</v>
      </c>
      <c r="Q7" s="34">
        <f t="shared" si="3"/>
        <v>56</v>
      </c>
      <c r="R7" s="34">
        <f t="shared" si="4"/>
        <v>1.98300283286119</v>
      </c>
      <c r="S7" s="34">
        <f t="shared" si="5"/>
        <v>85.2</v>
      </c>
      <c r="T7" s="35">
        <f t="shared" si="6"/>
        <v>1.52142857142857</v>
      </c>
      <c r="U7" s="31" t="s">
        <v>3297</v>
      </c>
      <c r="V7" s="31" t="s">
        <v>3298</v>
      </c>
      <c r="W7" s="31" t="s">
        <v>3305</v>
      </c>
      <c r="X7" s="36" t="s">
        <v>3306</v>
      </c>
    </row>
    <row r="8" ht="28" spans="1:24">
      <c r="A8" s="30" t="s">
        <v>3307</v>
      </c>
      <c r="B8" s="31" t="s">
        <v>3308</v>
      </c>
      <c r="C8" s="31" t="s">
        <v>3296</v>
      </c>
      <c r="D8" s="32">
        <v>4</v>
      </c>
      <c r="E8" s="32">
        <v>18</v>
      </c>
      <c r="F8" s="32">
        <v>10</v>
      </c>
      <c r="G8" s="33">
        <v>0.12</v>
      </c>
      <c r="H8" s="32">
        <v>5</v>
      </c>
      <c r="I8" s="32">
        <v>0.6</v>
      </c>
      <c r="J8" s="32">
        <v>9.6</v>
      </c>
      <c r="K8" s="32">
        <v>0</v>
      </c>
      <c r="L8" s="32">
        <v>0</v>
      </c>
      <c r="M8" s="32">
        <v>0</v>
      </c>
      <c r="N8" s="34">
        <f t="shared" si="0"/>
        <v>5.76</v>
      </c>
      <c r="O8" s="34">
        <f t="shared" si="1"/>
        <v>9.84</v>
      </c>
      <c r="P8" s="34">
        <f t="shared" si="2"/>
        <v>-4.08</v>
      </c>
      <c r="Q8" s="34">
        <f t="shared" si="3"/>
        <v>82</v>
      </c>
      <c r="R8" s="34" t="str">
        <f t="shared" si="4"/>
        <v/>
      </c>
      <c r="S8" s="34">
        <f t="shared" si="5"/>
        <v>-102.4</v>
      </c>
      <c r="T8" s="35">
        <f t="shared" si="6"/>
        <v>-1.24878048780488</v>
      </c>
      <c r="U8" s="31" t="s">
        <v>3309</v>
      </c>
      <c r="V8" s="31" t="s">
        <v>3310</v>
      </c>
      <c r="W8" s="31" t="s">
        <v>3311</v>
      </c>
      <c r="X8" s="36" t="s">
        <v>3312</v>
      </c>
    </row>
    <row r="9" ht="28" spans="1:24">
      <c r="A9" s="30" t="s">
        <v>3307</v>
      </c>
      <c r="B9" s="31" t="s">
        <v>3308</v>
      </c>
      <c r="C9" s="31" t="s">
        <v>3301</v>
      </c>
      <c r="D9" s="32">
        <v>6</v>
      </c>
      <c r="E9" s="32">
        <v>12</v>
      </c>
      <c r="F9" s="32">
        <v>8</v>
      </c>
      <c r="G9" s="33">
        <v>0.1</v>
      </c>
      <c r="H9" s="32">
        <v>5</v>
      </c>
      <c r="I9" s="32">
        <v>1.5</v>
      </c>
      <c r="J9" s="32">
        <v>9.6</v>
      </c>
      <c r="K9" s="32">
        <v>0</v>
      </c>
      <c r="L9" s="32">
        <v>0</v>
      </c>
      <c r="M9" s="32">
        <v>5</v>
      </c>
      <c r="N9" s="34">
        <f t="shared" si="0"/>
        <v>19.4</v>
      </c>
      <c r="O9" s="34">
        <f t="shared" si="1"/>
        <v>8</v>
      </c>
      <c r="P9" s="34">
        <f t="shared" si="2"/>
        <v>11.4</v>
      </c>
      <c r="Q9" s="34">
        <f t="shared" si="3"/>
        <v>80</v>
      </c>
      <c r="R9" s="34">
        <f t="shared" si="4"/>
        <v>7.01754385964912</v>
      </c>
      <c r="S9" s="34">
        <f t="shared" si="5"/>
        <v>-23</v>
      </c>
      <c r="T9" s="35">
        <f t="shared" si="6"/>
        <v>-0.2875</v>
      </c>
      <c r="U9" s="31" t="s">
        <v>3309</v>
      </c>
      <c r="V9" s="31" t="s">
        <v>3310</v>
      </c>
      <c r="W9" s="31" t="s">
        <v>3313</v>
      </c>
      <c r="X9" s="36" t="s">
        <v>3314</v>
      </c>
    </row>
    <row r="10" ht="28" spans="1:24">
      <c r="A10" s="30" t="s">
        <v>3307</v>
      </c>
      <c r="B10" s="31" t="s">
        <v>3308</v>
      </c>
      <c r="C10" s="31" t="s">
        <v>3304</v>
      </c>
      <c r="D10" s="32">
        <v>8</v>
      </c>
      <c r="E10" s="32">
        <v>8</v>
      </c>
      <c r="F10" s="32">
        <v>6</v>
      </c>
      <c r="G10" s="33">
        <v>0.08</v>
      </c>
      <c r="H10" s="32">
        <v>5</v>
      </c>
      <c r="I10" s="32">
        <v>2.8</v>
      </c>
      <c r="J10" s="32">
        <v>10.8</v>
      </c>
      <c r="K10" s="32">
        <v>0</v>
      </c>
      <c r="L10" s="32">
        <v>0</v>
      </c>
      <c r="M10" s="32">
        <v>10</v>
      </c>
      <c r="N10" s="34">
        <f t="shared" si="0"/>
        <v>40.24</v>
      </c>
      <c r="O10" s="34">
        <f t="shared" si="1"/>
        <v>5.6</v>
      </c>
      <c r="P10" s="34">
        <f t="shared" si="2"/>
        <v>34.64</v>
      </c>
      <c r="Q10" s="34">
        <f t="shared" si="3"/>
        <v>70</v>
      </c>
      <c r="R10" s="34">
        <f t="shared" si="4"/>
        <v>2.02078521939954</v>
      </c>
      <c r="S10" s="34">
        <f t="shared" si="5"/>
        <v>103.2</v>
      </c>
      <c r="T10" s="35">
        <f t="shared" si="6"/>
        <v>1.47428571428571</v>
      </c>
      <c r="U10" s="31" t="s">
        <v>3309</v>
      </c>
      <c r="V10" s="31" t="s">
        <v>3310</v>
      </c>
      <c r="W10" s="31" t="s">
        <v>3315</v>
      </c>
      <c r="X10" s="36" t="s">
        <v>3316</v>
      </c>
    </row>
    <row r="11" ht="28" spans="1:24">
      <c r="A11" s="30" t="s">
        <v>3317</v>
      </c>
      <c r="B11" s="31" t="s">
        <v>3318</v>
      </c>
      <c r="C11" s="31" t="s">
        <v>3296</v>
      </c>
      <c r="D11" s="32">
        <v>1</v>
      </c>
      <c r="E11" s="32">
        <v>150</v>
      </c>
      <c r="F11" s="32">
        <v>30</v>
      </c>
      <c r="G11" s="33">
        <v>0.1</v>
      </c>
      <c r="H11" s="32">
        <v>7</v>
      </c>
      <c r="I11" s="32">
        <v>0.2</v>
      </c>
      <c r="J11" s="32">
        <v>12</v>
      </c>
      <c r="K11" s="32">
        <v>800</v>
      </c>
      <c r="L11" s="32">
        <v>60</v>
      </c>
      <c r="M11" s="32">
        <v>0</v>
      </c>
      <c r="N11" s="34">
        <f t="shared" si="0"/>
        <v>7.2</v>
      </c>
      <c r="O11" s="34">
        <f t="shared" si="1"/>
        <v>18</v>
      </c>
      <c r="P11" s="34">
        <f t="shared" si="2"/>
        <v>-10.8</v>
      </c>
      <c r="Q11" s="34">
        <f t="shared" si="3"/>
        <v>180</v>
      </c>
      <c r="R11" s="34" t="str">
        <f t="shared" si="4"/>
        <v/>
      </c>
      <c r="S11" s="34">
        <f t="shared" si="5"/>
        <v>-255.6</v>
      </c>
      <c r="T11" s="35">
        <f t="shared" si="6"/>
        <v>-1.42</v>
      </c>
      <c r="U11" s="31" t="s">
        <v>3319</v>
      </c>
      <c r="V11" s="31" t="s">
        <v>3320</v>
      </c>
      <c r="W11" s="31" t="s">
        <v>3321</v>
      </c>
      <c r="X11" s="36" t="s">
        <v>3322</v>
      </c>
    </row>
    <row r="12" ht="28" spans="1:24">
      <c r="A12" s="30" t="s">
        <v>3317</v>
      </c>
      <c r="B12" s="31" t="s">
        <v>3318</v>
      </c>
      <c r="C12" s="31" t="s">
        <v>3301</v>
      </c>
      <c r="D12" s="32">
        <v>1</v>
      </c>
      <c r="E12" s="32">
        <v>80</v>
      </c>
      <c r="F12" s="32">
        <v>15</v>
      </c>
      <c r="G12" s="33">
        <v>0.08</v>
      </c>
      <c r="H12" s="32">
        <v>7</v>
      </c>
      <c r="I12" s="32">
        <v>0.5</v>
      </c>
      <c r="J12" s="32">
        <v>12</v>
      </c>
      <c r="K12" s="32">
        <v>1800</v>
      </c>
      <c r="L12" s="32">
        <v>100</v>
      </c>
      <c r="M12" s="32">
        <v>10</v>
      </c>
      <c r="N12" s="34">
        <f t="shared" si="0"/>
        <v>34</v>
      </c>
      <c r="O12" s="34">
        <f t="shared" si="1"/>
        <v>7.6</v>
      </c>
      <c r="P12" s="34">
        <f t="shared" si="2"/>
        <v>26.4</v>
      </c>
      <c r="Q12" s="34">
        <f t="shared" si="3"/>
        <v>95</v>
      </c>
      <c r="R12" s="34">
        <f t="shared" si="4"/>
        <v>3.59848484848485</v>
      </c>
      <c r="S12" s="34">
        <f t="shared" si="5"/>
        <v>89.8</v>
      </c>
      <c r="T12" s="35">
        <f t="shared" si="6"/>
        <v>0.945263157894737</v>
      </c>
      <c r="U12" s="31" t="s">
        <v>3319</v>
      </c>
      <c r="V12" s="31" t="s">
        <v>3320</v>
      </c>
      <c r="W12" s="31" t="s">
        <v>3323</v>
      </c>
      <c r="X12" s="36" t="s">
        <v>3324</v>
      </c>
    </row>
    <row r="13" ht="28" spans="1:24">
      <c r="A13" s="30" t="s">
        <v>3317</v>
      </c>
      <c r="B13" s="31" t="s">
        <v>3318</v>
      </c>
      <c r="C13" s="31" t="s">
        <v>3304</v>
      </c>
      <c r="D13" s="32">
        <v>1</v>
      </c>
      <c r="E13" s="32">
        <v>54.5</v>
      </c>
      <c r="F13" s="32">
        <v>10</v>
      </c>
      <c r="G13" s="33">
        <v>0.06</v>
      </c>
      <c r="H13" s="32">
        <v>7</v>
      </c>
      <c r="I13" s="32">
        <v>0.8</v>
      </c>
      <c r="J13" s="32">
        <v>12</v>
      </c>
      <c r="K13" s="32">
        <v>2800</v>
      </c>
      <c r="L13" s="32">
        <v>120</v>
      </c>
      <c r="M13" s="32">
        <v>20</v>
      </c>
      <c r="N13" s="34">
        <f t="shared" si="0"/>
        <v>63.2</v>
      </c>
      <c r="O13" s="34">
        <f t="shared" si="1"/>
        <v>3.87</v>
      </c>
      <c r="P13" s="34">
        <f t="shared" si="2"/>
        <v>59.33</v>
      </c>
      <c r="Q13" s="34">
        <f t="shared" si="3"/>
        <v>64.5</v>
      </c>
      <c r="R13" s="34">
        <f t="shared" si="4"/>
        <v>1.08713972695095</v>
      </c>
      <c r="S13" s="34">
        <f t="shared" si="5"/>
        <v>350.81</v>
      </c>
      <c r="T13" s="35">
        <f t="shared" si="6"/>
        <v>5.43891472868217</v>
      </c>
      <c r="U13" s="31" t="s">
        <v>3319</v>
      </c>
      <c r="V13" s="31" t="s">
        <v>3320</v>
      </c>
      <c r="W13" s="31" t="s">
        <v>3325</v>
      </c>
      <c r="X13" s="36" t="s">
        <v>3326</v>
      </c>
    </row>
    <row r="14" ht="28" spans="1:24">
      <c r="A14" s="30" t="s">
        <v>3327</v>
      </c>
      <c r="B14" s="31" t="s">
        <v>3328</v>
      </c>
      <c r="C14" s="31" t="s">
        <v>3296</v>
      </c>
      <c r="D14" s="32">
        <v>50</v>
      </c>
      <c r="E14" s="32">
        <v>1.2</v>
      </c>
      <c r="F14" s="32">
        <v>8</v>
      </c>
      <c r="G14" s="33">
        <v>0.15</v>
      </c>
      <c r="H14" s="32">
        <v>3</v>
      </c>
      <c r="I14" s="32">
        <v>0.2</v>
      </c>
      <c r="J14" s="32">
        <v>9.6</v>
      </c>
      <c r="K14" s="32">
        <v>600</v>
      </c>
      <c r="L14" s="32">
        <v>30</v>
      </c>
      <c r="M14" s="32">
        <v>0</v>
      </c>
      <c r="N14" s="34">
        <f t="shared" si="0"/>
        <v>3.72</v>
      </c>
      <c r="O14" s="34">
        <f t="shared" si="1"/>
        <v>10.2</v>
      </c>
      <c r="P14" s="34">
        <f t="shared" si="2"/>
        <v>-6.48</v>
      </c>
      <c r="Q14" s="34">
        <f t="shared" si="3"/>
        <v>68</v>
      </c>
      <c r="R14" s="34" t="str">
        <f t="shared" si="4"/>
        <v/>
      </c>
      <c r="S14" s="34">
        <f t="shared" si="5"/>
        <v>-87.44</v>
      </c>
      <c r="T14" s="35">
        <f t="shared" si="6"/>
        <v>-1.28588235294118</v>
      </c>
      <c r="U14" s="31" t="s">
        <v>3329</v>
      </c>
      <c r="V14" s="31" t="s">
        <v>3330</v>
      </c>
      <c r="W14" s="31" t="s">
        <v>3331</v>
      </c>
      <c r="X14" s="36" t="s">
        <v>3332</v>
      </c>
    </row>
    <row r="15" ht="28" spans="1:24">
      <c r="A15" s="30" t="s">
        <v>3327</v>
      </c>
      <c r="B15" s="31" t="s">
        <v>3328</v>
      </c>
      <c r="C15" s="31" t="s">
        <v>3301</v>
      </c>
      <c r="D15" s="32">
        <v>100</v>
      </c>
      <c r="E15" s="32">
        <v>0.8</v>
      </c>
      <c r="F15" s="32">
        <v>10</v>
      </c>
      <c r="G15" s="33">
        <v>0.12</v>
      </c>
      <c r="H15" s="32">
        <v>3</v>
      </c>
      <c r="I15" s="32">
        <v>0.5</v>
      </c>
      <c r="J15" s="32">
        <v>9.6</v>
      </c>
      <c r="K15" s="32">
        <v>1200</v>
      </c>
      <c r="L15" s="32">
        <v>60</v>
      </c>
      <c r="M15" s="32">
        <v>5</v>
      </c>
      <c r="N15" s="34">
        <f t="shared" si="0"/>
        <v>17</v>
      </c>
      <c r="O15" s="34">
        <f t="shared" si="1"/>
        <v>10.8</v>
      </c>
      <c r="P15" s="34">
        <f t="shared" si="2"/>
        <v>6.2</v>
      </c>
      <c r="Q15" s="34">
        <f t="shared" si="3"/>
        <v>90</v>
      </c>
      <c r="R15" s="34">
        <f t="shared" si="4"/>
        <v>14.5161290322581</v>
      </c>
      <c r="S15" s="34">
        <f t="shared" si="5"/>
        <v>-71.4</v>
      </c>
      <c r="T15" s="35">
        <f t="shared" si="6"/>
        <v>-0.793333333333333</v>
      </c>
      <c r="U15" s="31" t="s">
        <v>3329</v>
      </c>
      <c r="V15" s="31" t="s">
        <v>3330</v>
      </c>
      <c r="W15" s="31" t="s">
        <v>3333</v>
      </c>
      <c r="X15" s="36" t="s">
        <v>3334</v>
      </c>
    </row>
    <row r="16" ht="28" spans="1:24">
      <c r="A16" s="37" t="s">
        <v>3327</v>
      </c>
      <c r="B16" s="38" t="s">
        <v>3328</v>
      </c>
      <c r="C16" s="38" t="s">
        <v>3304</v>
      </c>
      <c r="D16" s="39">
        <v>150</v>
      </c>
      <c r="E16" s="39">
        <v>0.6</v>
      </c>
      <c r="F16" s="39">
        <v>15</v>
      </c>
      <c r="G16" s="40">
        <v>0.1</v>
      </c>
      <c r="H16" s="39">
        <v>3</v>
      </c>
      <c r="I16" s="39">
        <v>0.8</v>
      </c>
      <c r="J16" s="39">
        <v>10.8</v>
      </c>
      <c r="K16" s="39">
        <v>1800</v>
      </c>
      <c r="L16" s="39">
        <v>90</v>
      </c>
      <c r="M16" s="39">
        <v>10</v>
      </c>
      <c r="N16" s="41">
        <f t="shared" si="0"/>
        <v>34.84</v>
      </c>
      <c r="O16" s="41">
        <f t="shared" si="1"/>
        <v>10.5</v>
      </c>
      <c r="P16" s="41">
        <f t="shared" si="2"/>
        <v>24.34</v>
      </c>
      <c r="Q16" s="41">
        <f t="shared" si="3"/>
        <v>105</v>
      </c>
      <c r="R16" s="41">
        <f t="shared" si="4"/>
        <v>4.3138866064092</v>
      </c>
      <c r="S16" s="41">
        <f t="shared" si="5"/>
        <v>-31.98</v>
      </c>
      <c r="T16" s="42">
        <f t="shared" si="6"/>
        <v>-0.304571428571428</v>
      </c>
      <c r="U16" s="38" t="s">
        <v>3329</v>
      </c>
      <c r="V16" s="38" t="s">
        <v>3330</v>
      </c>
      <c r="W16" s="38" t="s">
        <v>3335</v>
      </c>
      <c r="X16" s="43" t="s">
        <v>3336</v>
      </c>
    </row>
    <row r="19" ht="34" customHeight="1" spans="1:24">
      <c r="A19" s="44" t="s">
        <v>3337</v>
      </c>
      <c r="B19" s="44"/>
      <c r="C19" s="44"/>
      <c r="D19" s="44"/>
      <c r="E19" s="44"/>
      <c r="F19" s="44"/>
      <c r="G19" s="44"/>
      <c r="H19" s="44"/>
      <c r="I19" s="44"/>
      <c r="J19" s="44"/>
      <c r="K19" s="44"/>
      <c r="L19" s="44"/>
      <c r="M19" s="44"/>
      <c r="N19" s="44"/>
      <c r="O19" s="44"/>
      <c r="P19" s="44"/>
      <c r="Q19" s="44"/>
      <c r="R19" s="44"/>
      <c r="S19" s="44"/>
      <c r="T19" s="44"/>
      <c r="U19" s="44"/>
      <c r="V19" s="44"/>
      <c r="W19" s="44"/>
      <c r="X19" s="44"/>
    </row>
  </sheetData>
  <mergeCells count="3">
    <mergeCell ref="A1:X1"/>
    <mergeCell ref="A2:X2"/>
    <mergeCell ref="A19:X19"/>
  </mergeCells>
  <conditionalFormatting sqref="T5:T16">
    <cfRule type="colorScale" priority="1">
      <colorScale>
        <cfvo type="min"/>
        <cfvo type="percentile" val="50"/>
        <cfvo type="max"/>
        <color rgb="FFF8696B"/>
        <color rgb="FFFFEB84"/>
        <color rgb="FF63BE7B"/>
      </colorScale>
    </cfRule>
  </conditionalFormatting>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7"/>
  <sheetViews>
    <sheetView showGridLines="0" topLeftCell="A113" workbookViewId="0">
      <selection activeCell="K120" sqref="K120"/>
    </sheetView>
  </sheetViews>
  <sheetFormatPr defaultColWidth="9" defaultRowHeight="16.8"/>
  <cols>
    <col min="1" max="1" width="10" customWidth="1"/>
    <col min="2" max="3" width="28" customWidth="1"/>
    <col min="4" max="4" width="54" customWidth="1"/>
    <col min="5" max="5" width="18" customWidth="1"/>
    <col min="6" max="6" width="58" customWidth="1"/>
    <col min="7" max="7" width="18" customWidth="1"/>
    <col min="8" max="8" width="10" customWidth="1"/>
    <col min="9" max="9" width="12" customWidth="1"/>
    <col min="10" max="10" width="15" customWidth="1"/>
    <col min="11" max="11" width="14" customWidth="1"/>
    <col min="12" max="12" width="16" customWidth="1"/>
  </cols>
  <sheetData>
    <row r="1" ht="32" customHeight="1" spans="1:12">
      <c r="A1" s="1" t="s">
        <v>3338</v>
      </c>
      <c r="B1" s="1"/>
      <c r="C1" s="1"/>
      <c r="D1" s="1"/>
      <c r="E1" s="1"/>
      <c r="F1" s="1"/>
      <c r="G1" s="1"/>
      <c r="H1" s="1"/>
      <c r="I1" s="1"/>
      <c r="J1" s="1"/>
      <c r="K1" s="1"/>
      <c r="L1" s="1"/>
    </row>
    <row r="2" ht="34" customHeight="1" spans="1:12">
      <c r="A2" s="2" t="s">
        <v>3339</v>
      </c>
      <c r="B2" s="2"/>
      <c r="C2" s="2"/>
      <c r="D2" s="2"/>
      <c r="E2" s="2"/>
      <c r="F2" s="2"/>
      <c r="G2" s="2"/>
      <c r="H2" s="2"/>
      <c r="I2" s="2"/>
      <c r="J2" s="2"/>
      <c r="K2" s="2"/>
      <c r="L2" s="2"/>
    </row>
    <row r="4" ht="32" customHeight="1" spans="1:12">
      <c r="A4" s="3" t="s">
        <v>90</v>
      </c>
      <c r="B4" s="3" t="s">
        <v>91</v>
      </c>
      <c r="C4" s="3" t="s">
        <v>1447</v>
      </c>
      <c r="D4" s="3" t="s">
        <v>3340</v>
      </c>
      <c r="E4" s="3" t="s">
        <v>3341</v>
      </c>
      <c r="F4" s="3" t="s">
        <v>372</v>
      </c>
      <c r="G4" s="3" t="s">
        <v>3342</v>
      </c>
      <c r="H4" s="3" t="s">
        <v>3343</v>
      </c>
      <c r="I4" s="3" t="s">
        <v>3344</v>
      </c>
      <c r="J4" s="3" t="s">
        <v>3345</v>
      </c>
      <c r="K4" s="3" t="s">
        <v>3346</v>
      </c>
      <c r="L4" s="3" t="s">
        <v>3347</v>
      </c>
    </row>
    <row r="5" spans="1:12">
      <c r="A5" s="4" t="s">
        <v>1457</v>
      </c>
      <c r="B5" s="5" t="s">
        <v>1451</v>
      </c>
      <c r="C5" s="5" t="s">
        <v>1451</v>
      </c>
      <c r="D5" s="5" t="s">
        <v>3348</v>
      </c>
      <c r="E5" s="5" t="s">
        <v>3349</v>
      </c>
      <c r="F5" s="5" t="s">
        <v>1458</v>
      </c>
      <c r="G5" s="5" t="s">
        <v>3350</v>
      </c>
      <c r="H5" s="5" t="s">
        <v>101</v>
      </c>
      <c r="I5" s="5" t="s">
        <v>3351</v>
      </c>
      <c r="J5" s="5" t="s">
        <v>3352</v>
      </c>
      <c r="K5" s="5" t="s">
        <v>111</v>
      </c>
      <c r="L5" s="6" t="s">
        <v>3353</v>
      </c>
    </row>
    <row r="6" spans="1:12">
      <c r="A6" s="7" t="s">
        <v>155</v>
      </c>
      <c r="B6" s="8" t="s">
        <v>156</v>
      </c>
      <c r="C6" s="8" t="s">
        <v>156</v>
      </c>
      <c r="D6" s="8" t="s">
        <v>1611</v>
      </c>
      <c r="E6" s="8" t="s">
        <v>3354</v>
      </c>
      <c r="F6" s="8" t="s">
        <v>529</v>
      </c>
      <c r="G6" s="8" t="s">
        <v>3350</v>
      </c>
      <c r="H6" s="8" t="s">
        <v>101</v>
      </c>
      <c r="I6" s="8" t="s">
        <v>3351</v>
      </c>
      <c r="J6" s="8" t="s">
        <v>3352</v>
      </c>
      <c r="K6" s="8" t="s">
        <v>111</v>
      </c>
      <c r="L6" s="9" t="s">
        <v>3353</v>
      </c>
    </row>
    <row r="7" spans="1:12">
      <c r="A7" s="10" t="s">
        <v>851</v>
      </c>
      <c r="B7" s="11" t="s">
        <v>852</v>
      </c>
      <c r="C7" s="11" t="s">
        <v>852</v>
      </c>
      <c r="D7" s="11" t="s">
        <v>3355</v>
      </c>
      <c r="E7" s="11" t="s">
        <v>3356</v>
      </c>
      <c r="F7" s="11" t="s">
        <v>853</v>
      </c>
      <c r="G7" s="11" t="s">
        <v>847</v>
      </c>
      <c r="H7" s="11" t="s">
        <v>101</v>
      </c>
      <c r="I7" s="11" t="s">
        <v>3351</v>
      </c>
      <c r="J7" s="11" t="s">
        <v>3352</v>
      </c>
      <c r="K7" s="11" t="s">
        <v>111</v>
      </c>
      <c r="L7" s="12" t="s">
        <v>3353</v>
      </c>
    </row>
    <row r="8" spans="1:12">
      <c r="A8" s="7" t="s">
        <v>834</v>
      </c>
      <c r="B8" s="8" t="s">
        <v>835</v>
      </c>
      <c r="C8" s="8" t="s">
        <v>835</v>
      </c>
      <c r="D8" s="8" t="s">
        <v>3357</v>
      </c>
      <c r="E8" s="8" t="s">
        <v>848</v>
      </c>
      <c r="F8" s="8" t="s">
        <v>836</v>
      </c>
      <c r="G8" s="8" t="s">
        <v>3358</v>
      </c>
      <c r="H8" s="8" t="s">
        <v>101</v>
      </c>
      <c r="I8" s="8" t="s">
        <v>3351</v>
      </c>
      <c r="J8" s="8" t="s">
        <v>3359</v>
      </c>
      <c r="K8" s="8" t="s">
        <v>111</v>
      </c>
      <c r="L8" s="9" t="s">
        <v>3353</v>
      </c>
    </row>
    <row r="9" ht="28" spans="1:12">
      <c r="A9" s="10" t="s">
        <v>870</v>
      </c>
      <c r="B9" s="11" t="s">
        <v>871</v>
      </c>
      <c r="C9" s="11" t="s">
        <v>871</v>
      </c>
      <c r="D9" s="11" t="s">
        <v>3360</v>
      </c>
      <c r="E9" s="11" t="s">
        <v>3361</v>
      </c>
      <c r="F9" s="11" t="s">
        <v>872</v>
      </c>
      <c r="G9" s="11" t="s">
        <v>3362</v>
      </c>
      <c r="H9" s="11" t="s">
        <v>101</v>
      </c>
      <c r="I9" s="11" t="s">
        <v>3351</v>
      </c>
      <c r="J9" s="11" t="s">
        <v>3359</v>
      </c>
      <c r="K9" s="11" t="s">
        <v>111</v>
      </c>
      <c r="L9" s="12" t="s">
        <v>3353</v>
      </c>
    </row>
    <row r="10" spans="1:12">
      <c r="A10" s="7" t="s">
        <v>3028</v>
      </c>
      <c r="B10" s="8" t="s">
        <v>3029</v>
      </c>
      <c r="C10" s="8" t="s">
        <v>3029</v>
      </c>
      <c r="D10" s="8" t="s">
        <v>3363</v>
      </c>
      <c r="E10" s="8" t="s">
        <v>3364</v>
      </c>
      <c r="F10" s="8" t="s">
        <v>3030</v>
      </c>
      <c r="G10" s="8" t="s">
        <v>3362</v>
      </c>
      <c r="H10" s="8" t="s">
        <v>101</v>
      </c>
      <c r="I10" s="8" t="s">
        <v>3351</v>
      </c>
      <c r="J10" s="8" t="s">
        <v>3359</v>
      </c>
      <c r="K10" s="8" t="s">
        <v>111</v>
      </c>
      <c r="L10" s="9" t="s">
        <v>3353</v>
      </c>
    </row>
    <row r="11" spans="1:12">
      <c r="A11" s="10" t="s">
        <v>3365</v>
      </c>
      <c r="B11" s="11" t="s">
        <v>1519</v>
      </c>
      <c r="C11" s="11" t="s">
        <v>1519</v>
      </c>
      <c r="D11" s="11" t="s">
        <v>3366</v>
      </c>
      <c r="E11" s="11" t="s">
        <v>848</v>
      </c>
      <c r="F11" s="11" t="s">
        <v>3139</v>
      </c>
      <c r="G11" s="11" t="s">
        <v>3367</v>
      </c>
      <c r="H11" s="11" t="s">
        <v>101</v>
      </c>
      <c r="I11" s="11" t="s">
        <v>3351</v>
      </c>
      <c r="J11" s="11" t="s">
        <v>3359</v>
      </c>
      <c r="K11" s="11" t="s">
        <v>111</v>
      </c>
      <c r="L11" s="12" t="s">
        <v>3353</v>
      </c>
    </row>
    <row r="12" spans="1:12">
      <c r="A12" s="7" t="s">
        <v>1502</v>
      </c>
      <c r="B12" s="8" t="s">
        <v>108</v>
      </c>
      <c r="C12" s="8" t="s">
        <v>108</v>
      </c>
      <c r="D12" s="8" t="s">
        <v>3368</v>
      </c>
      <c r="E12" s="8" t="s">
        <v>3369</v>
      </c>
      <c r="F12" s="8" t="s">
        <v>1503</v>
      </c>
      <c r="G12" s="8" t="s">
        <v>3367</v>
      </c>
      <c r="H12" s="8" t="s">
        <v>101</v>
      </c>
      <c r="I12" s="8" t="s">
        <v>3351</v>
      </c>
      <c r="J12" s="8" t="s">
        <v>3352</v>
      </c>
      <c r="K12" s="8" t="s">
        <v>111</v>
      </c>
      <c r="L12" s="9" t="s">
        <v>3353</v>
      </c>
    </row>
    <row r="13" spans="1:12">
      <c r="A13" s="10" t="s">
        <v>3039</v>
      </c>
      <c r="B13" s="11" t="s">
        <v>108</v>
      </c>
      <c r="C13" s="11" t="s">
        <v>108</v>
      </c>
      <c r="D13" s="11" t="s">
        <v>3370</v>
      </c>
      <c r="E13" s="11" t="s">
        <v>3371</v>
      </c>
      <c r="F13" s="11" t="s">
        <v>3040</v>
      </c>
      <c r="G13" s="11" t="s">
        <v>3362</v>
      </c>
      <c r="H13" s="11" t="s">
        <v>101</v>
      </c>
      <c r="I13" s="11" t="s">
        <v>3351</v>
      </c>
      <c r="J13" s="11" t="s">
        <v>3352</v>
      </c>
      <c r="K13" s="11" t="s">
        <v>111</v>
      </c>
      <c r="L13" s="12" t="s">
        <v>3353</v>
      </c>
    </row>
    <row r="14" spans="1:12">
      <c r="A14" s="7" t="s">
        <v>1527</v>
      </c>
      <c r="B14" s="8" t="s">
        <v>505</v>
      </c>
      <c r="C14" s="8" t="s">
        <v>505</v>
      </c>
      <c r="D14" s="8" t="s">
        <v>3372</v>
      </c>
      <c r="E14" s="8" t="s">
        <v>3373</v>
      </c>
      <c r="F14" s="8" t="s">
        <v>1528</v>
      </c>
      <c r="G14" s="8" t="s">
        <v>3374</v>
      </c>
      <c r="H14" s="8" t="s">
        <v>101</v>
      </c>
      <c r="I14" s="8" t="s">
        <v>3351</v>
      </c>
      <c r="J14" s="8" t="s">
        <v>3359</v>
      </c>
      <c r="K14" s="8" t="s">
        <v>111</v>
      </c>
      <c r="L14" s="9" t="s">
        <v>3353</v>
      </c>
    </row>
    <row r="15" spans="1:12">
      <c r="A15" s="10" t="s">
        <v>3375</v>
      </c>
      <c r="B15" s="11" t="s">
        <v>862</v>
      </c>
      <c r="C15" s="11" t="s">
        <v>862</v>
      </c>
      <c r="D15" s="11" t="s">
        <v>3376</v>
      </c>
      <c r="E15" s="11" t="s">
        <v>3377</v>
      </c>
      <c r="F15" s="11" t="s">
        <v>3378</v>
      </c>
      <c r="G15" s="11" t="s">
        <v>3379</v>
      </c>
      <c r="H15" s="11" t="s">
        <v>101</v>
      </c>
      <c r="I15" s="11" t="s">
        <v>3351</v>
      </c>
      <c r="J15" s="11" t="s">
        <v>3352</v>
      </c>
      <c r="K15" s="11" t="s">
        <v>111</v>
      </c>
      <c r="L15" s="12" t="s">
        <v>3353</v>
      </c>
    </row>
    <row r="16" spans="1:12">
      <c r="A16" s="7" t="s">
        <v>861</v>
      </c>
      <c r="B16" s="8" t="s">
        <v>862</v>
      </c>
      <c r="C16" s="8" t="s">
        <v>862</v>
      </c>
      <c r="D16" s="8" t="s">
        <v>3380</v>
      </c>
      <c r="E16" s="8" t="s">
        <v>3381</v>
      </c>
      <c r="F16" s="8" t="s">
        <v>863</v>
      </c>
      <c r="G16" s="8" t="s">
        <v>3382</v>
      </c>
      <c r="H16" s="8" t="s">
        <v>101</v>
      </c>
      <c r="I16" s="8" t="s">
        <v>3351</v>
      </c>
      <c r="J16" s="8" t="s">
        <v>3352</v>
      </c>
      <c r="K16" s="8" t="s">
        <v>111</v>
      </c>
      <c r="L16" s="9" t="s">
        <v>3353</v>
      </c>
    </row>
    <row r="17" spans="1:12">
      <c r="A17" s="10" t="s">
        <v>1510</v>
      </c>
      <c r="B17" s="11" t="s">
        <v>108</v>
      </c>
      <c r="C17" s="11" t="s">
        <v>108</v>
      </c>
      <c r="D17" s="11" t="s">
        <v>3383</v>
      </c>
      <c r="E17" s="11" t="s">
        <v>3384</v>
      </c>
      <c r="F17" s="11" t="s">
        <v>1511</v>
      </c>
      <c r="G17" s="11" t="s">
        <v>3385</v>
      </c>
      <c r="H17" s="11" t="s">
        <v>101</v>
      </c>
      <c r="I17" s="11" t="s">
        <v>3351</v>
      </c>
      <c r="J17" s="11" t="s">
        <v>3352</v>
      </c>
      <c r="K17" s="11" t="s">
        <v>111</v>
      </c>
      <c r="L17" s="12" t="s">
        <v>3353</v>
      </c>
    </row>
    <row r="18" spans="1:12">
      <c r="A18" s="7" t="s">
        <v>107</v>
      </c>
      <c r="B18" s="8" t="s">
        <v>108</v>
      </c>
      <c r="C18" s="8" t="s">
        <v>108</v>
      </c>
      <c r="D18" s="8" t="s">
        <v>1492</v>
      </c>
      <c r="E18" s="8" t="s">
        <v>3386</v>
      </c>
      <c r="F18" s="8" t="s">
        <v>1067</v>
      </c>
      <c r="G18" s="8" t="s">
        <v>3387</v>
      </c>
      <c r="H18" s="8" t="s">
        <v>101</v>
      </c>
      <c r="I18" s="8" t="s">
        <v>3351</v>
      </c>
      <c r="J18" s="8" t="s">
        <v>3352</v>
      </c>
      <c r="K18" s="8" t="s">
        <v>111</v>
      </c>
      <c r="L18" s="9" t="s">
        <v>3353</v>
      </c>
    </row>
    <row r="19" spans="1:12">
      <c r="A19" s="10" t="s">
        <v>1330</v>
      </c>
      <c r="B19" s="11" t="s">
        <v>1331</v>
      </c>
      <c r="C19" s="11" t="s">
        <v>1331</v>
      </c>
      <c r="D19" s="11" t="s">
        <v>3388</v>
      </c>
      <c r="E19" s="11" t="s">
        <v>3389</v>
      </c>
      <c r="F19" s="11" t="s">
        <v>1332</v>
      </c>
      <c r="G19" s="11" t="s">
        <v>3390</v>
      </c>
      <c r="H19" s="11" t="s">
        <v>101</v>
      </c>
      <c r="I19" s="11" t="s">
        <v>3351</v>
      </c>
      <c r="J19" s="11" t="s">
        <v>3352</v>
      </c>
      <c r="K19" s="11" t="s">
        <v>111</v>
      </c>
      <c r="L19" s="12" t="s">
        <v>3353</v>
      </c>
    </row>
    <row r="20" spans="1:12">
      <c r="A20" s="7" t="s">
        <v>1308</v>
      </c>
      <c r="B20" s="8" t="s">
        <v>108</v>
      </c>
      <c r="C20" s="8" t="s">
        <v>108</v>
      </c>
      <c r="D20" s="8" t="s">
        <v>3391</v>
      </c>
      <c r="E20" s="8" t="s">
        <v>3392</v>
      </c>
      <c r="F20" s="8" t="s">
        <v>1309</v>
      </c>
      <c r="G20" s="8" t="s">
        <v>3393</v>
      </c>
      <c r="H20" s="8" t="s">
        <v>101</v>
      </c>
      <c r="I20" s="8" t="s">
        <v>3351</v>
      </c>
      <c r="J20" s="8" t="s">
        <v>3352</v>
      </c>
      <c r="K20" s="8" t="s">
        <v>111</v>
      </c>
      <c r="L20" s="9" t="s">
        <v>3353</v>
      </c>
    </row>
    <row r="21" spans="1:12">
      <c r="A21" s="10" t="s">
        <v>1487</v>
      </c>
      <c r="B21" s="11" t="s">
        <v>1323</v>
      </c>
      <c r="C21" s="11" t="s">
        <v>1323</v>
      </c>
      <c r="D21" s="11" t="s">
        <v>3394</v>
      </c>
      <c r="E21" s="11" t="s">
        <v>3395</v>
      </c>
      <c r="F21" s="11" t="s">
        <v>1488</v>
      </c>
      <c r="G21" s="11" t="s">
        <v>2509</v>
      </c>
      <c r="H21" s="11" t="s">
        <v>101</v>
      </c>
      <c r="I21" s="11" t="s">
        <v>3351</v>
      </c>
      <c r="J21" s="11" t="s">
        <v>3359</v>
      </c>
      <c r="K21" s="11" t="s">
        <v>111</v>
      </c>
      <c r="L21" s="12" t="s">
        <v>3353</v>
      </c>
    </row>
    <row r="22" spans="1:12">
      <c r="A22" s="7" t="s">
        <v>1535</v>
      </c>
      <c r="B22" s="8" t="s">
        <v>1536</v>
      </c>
      <c r="C22" s="8" t="s">
        <v>1536</v>
      </c>
      <c r="D22" s="8" t="s">
        <v>3396</v>
      </c>
      <c r="E22" s="8" t="s">
        <v>3397</v>
      </c>
      <c r="F22" s="8" t="s">
        <v>1236</v>
      </c>
      <c r="G22" s="8" t="s">
        <v>3398</v>
      </c>
      <c r="H22" s="8" t="s">
        <v>101</v>
      </c>
      <c r="I22" s="8" t="s">
        <v>3351</v>
      </c>
      <c r="J22" s="8" t="s">
        <v>3352</v>
      </c>
      <c r="K22" s="8" t="s">
        <v>111</v>
      </c>
      <c r="L22" s="9" t="s">
        <v>3353</v>
      </c>
    </row>
    <row r="23" spans="1:12">
      <c r="A23" s="10" t="s">
        <v>3089</v>
      </c>
      <c r="B23" s="11" t="s">
        <v>3090</v>
      </c>
      <c r="C23" s="11" t="s">
        <v>3090</v>
      </c>
      <c r="D23" s="11" t="s">
        <v>3399</v>
      </c>
      <c r="E23" s="11" t="s">
        <v>3400</v>
      </c>
      <c r="F23" s="11" t="s">
        <v>3091</v>
      </c>
      <c r="G23" s="11" t="s">
        <v>3401</v>
      </c>
      <c r="H23" s="11" t="s">
        <v>101</v>
      </c>
      <c r="I23" s="11" t="s">
        <v>3351</v>
      </c>
      <c r="J23" s="11" t="s">
        <v>3359</v>
      </c>
      <c r="K23" s="11" t="s">
        <v>111</v>
      </c>
      <c r="L23" s="12" t="s">
        <v>3353</v>
      </c>
    </row>
    <row r="24" spans="1:12">
      <c r="A24" s="7" t="s">
        <v>1322</v>
      </c>
      <c r="B24" s="8" t="s">
        <v>1323</v>
      </c>
      <c r="C24" s="8" t="s">
        <v>1323</v>
      </c>
      <c r="D24" s="8" t="s">
        <v>3402</v>
      </c>
      <c r="E24" s="8" t="s">
        <v>3403</v>
      </c>
      <c r="F24" s="8" t="s">
        <v>1324</v>
      </c>
      <c r="G24" s="8" t="s">
        <v>3404</v>
      </c>
      <c r="H24" s="8" t="s">
        <v>101</v>
      </c>
      <c r="I24" s="8" t="s">
        <v>3351</v>
      </c>
      <c r="J24" s="8" t="s">
        <v>3359</v>
      </c>
      <c r="K24" s="8" t="s">
        <v>111</v>
      </c>
      <c r="L24" s="9" t="s">
        <v>3353</v>
      </c>
    </row>
    <row r="25" spans="1:12">
      <c r="A25" s="10" t="s">
        <v>119</v>
      </c>
      <c r="B25" s="11" t="s">
        <v>120</v>
      </c>
      <c r="C25" s="11" t="s">
        <v>120</v>
      </c>
      <c r="D25" s="11" t="s">
        <v>3405</v>
      </c>
      <c r="E25" s="11" t="s">
        <v>3364</v>
      </c>
      <c r="F25" s="11" t="s">
        <v>1316</v>
      </c>
      <c r="G25" s="11" t="s">
        <v>3406</v>
      </c>
      <c r="H25" s="11" t="s">
        <v>100</v>
      </c>
      <c r="I25" s="11" t="s">
        <v>3351</v>
      </c>
      <c r="J25" s="11" t="s">
        <v>3359</v>
      </c>
      <c r="K25" s="11" t="s">
        <v>111</v>
      </c>
      <c r="L25" s="12" t="s">
        <v>3353</v>
      </c>
    </row>
    <row r="26" spans="1:12">
      <c r="A26" s="7" t="s">
        <v>386</v>
      </c>
      <c r="B26" s="8" t="s">
        <v>376</v>
      </c>
      <c r="C26" s="8" t="s">
        <v>376</v>
      </c>
      <c r="D26" s="8" t="s">
        <v>3407</v>
      </c>
      <c r="E26" s="8" t="s">
        <v>3364</v>
      </c>
      <c r="F26" s="8" t="s">
        <v>387</v>
      </c>
      <c r="G26" s="8" t="s">
        <v>3406</v>
      </c>
      <c r="H26" s="8" t="s">
        <v>100</v>
      </c>
      <c r="I26" s="8" t="s">
        <v>3351</v>
      </c>
      <c r="J26" s="8" t="s">
        <v>3359</v>
      </c>
      <c r="K26" s="8" t="s">
        <v>111</v>
      </c>
      <c r="L26" s="9" t="s">
        <v>3353</v>
      </c>
    </row>
    <row r="27" spans="1:12">
      <c r="A27" s="10" t="s">
        <v>398</v>
      </c>
      <c r="B27" s="11" t="s">
        <v>390</v>
      </c>
      <c r="C27" s="11" t="s">
        <v>390</v>
      </c>
      <c r="D27" s="11" t="s">
        <v>3408</v>
      </c>
      <c r="E27" s="11" t="s">
        <v>3364</v>
      </c>
      <c r="F27" s="11" t="s">
        <v>399</v>
      </c>
      <c r="G27" s="11" t="s">
        <v>3406</v>
      </c>
      <c r="H27" s="11" t="s">
        <v>100</v>
      </c>
      <c r="I27" s="11" t="s">
        <v>3351</v>
      </c>
      <c r="J27" s="11" t="s">
        <v>3359</v>
      </c>
      <c r="K27" s="11" t="s">
        <v>111</v>
      </c>
      <c r="L27" s="12" t="s">
        <v>3353</v>
      </c>
    </row>
    <row r="28" spans="1:12">
      <c r="A28" s="7" t="s">
        <v>409</v>
      </c>
      <c r="B28" s="8" t="s">
        <v>402</v>
      </c>
      <c r="C28" s="8" t="s">
        <v>402</v>
      </c>
      <c r="D28" s="8" t="s">
        <v>3409</v>
      </c>
      <c r="E28" s="8" t="s">
        <v>3364</v>
      </c>
      <c r="F28" s="8" t="s">
        <v>410</v>
      </c>
      <c r="G28" s="8" t="s">
        <v>3406</v>
      </c>
      <c r="H28" s="8" t="s">
        <v>100</v>
      </c>
      <c r="I28" s="8" t="s">
        <v>3351</v>
      </c>
      <c r="J28" s="8" t="s">
        <v>3359</v>
      </c>
      <c r="K28" s="8" t="s">
        <v>111</v>
      </c>
      <c r="L28" s="9" t="s">
        <v>3353</v>
      </c>
    </row>
    <row r="29" ht="28" spans="1:12">
      <c r="A29" s="10" t="s">
        <v>421</v>
      </c>
      <c r="B29" s="11" t="s">
        <v>413</v>
      </c>
      <c r="C29" s="11" t="s">
        <v>413</v>
      </c>
      <c r="D29" s="11" t="s">
        <v>3410</v>
      </c>
      <c r="E29" s="11" t="s">
        <v>3389</v>
      </c>
      <c r="F29" s="11" t="s">
        <v>422</v>
      </c>
      <c r="G29" s="11" t="s">
        <v>3411</v>
      </c>
      <c r="H29" s="11" t="s">
        <v>101</v>
      </c>
      <c r="I29" s="11" t="s">
        <v>3351</v>
      </c>
      <c r="J29" s="11" t="s">
        <v>3359</v>
      </c>
      <c r="K29" s="11" t="s">
        <v>111</v>
      </c>
      <c r="L29" s="12" t="s">
        <v>3353</v>
      </c>
    </row>
    <row r="30" spans="1:12">
      <c r="A30" s="7" t="s">
        <v>471</v>
      </c>
      <c r="B30" s="8" t="s">
        <v>463</v>
      </c>
      <c r="C30" s="8" t="s">
        <v>463</v>
      </c>
      <c r="D30" s="8" t="s">
        <v>3412</v>
      </c>
      <c r="E30" s="8" t="s">
        <v>3364</v>
      </c>
      <c r="F30" s="8" t="s">
        <v>472</v>
      </c>
      <c r="G30" s="8" t="s">
        <v>3406</v>
      </c>
      <c r="H30" s="8" t="s">
        <v>100</v>
      </c>
      <c r="I30" s="8" t="s">
        <v>3351</v>
      </c>
      <c r="J30" s="8" t="s">
        <v>3359</v>
      </c>
      <c r="K30" s="8" t="s">
        <v>111</v>
      </c>
      <c r="L30" s="9" t="s">
        <v>3353</v>
      </c>
    </row>
    <row r="31" ht="28" spans="1:12">
      <c r="A31" s="10" t="s">
        <v>146</v>
      </c>
      <c r="B31" s="11" t="s">
        <v>147</v>
      </c>
      <c r="C31" s="11" t="s">
        <v>147</v>
      </c>
      <c r="D31" s="11" t="s">
        <v>3410</v>
      </c>
      <c r="E31" s="11" t="s">
        <v>3413</v>
      </c>
      <c r="F31" s="11" t="s">
        <v>882</v>
      </c>
      <c r="G31" s="11" t="s">
        <v>3411</v>
      </c>
      <c r="H31" s="11" t="s">
        <v>101</v>
      </c>
      <c r="I31" s="11" t="s">
        <v>3351</v>
      </c>
      <c r="J31" s="11" t="s">
        <v>3359</v>
      </c>
      <c r="K31" s="11" t="s">
        <v>111</v>
      </c>
      <c r="L31" s="12" t="s">
        <v>3353</v>
      </c>
    </row>
    <row r="32" spans="1:12">
      <c r="A32" s="7" t="s">
        <v>886</v>
      </c>
      <c r="B32" s="8" t="s">
        <v>887</v>
      </c>
      <c r="C32" s="8" t="s">
        <v>887</v>
      </c>
      <c r="D32" s="8" t="s">
        <v>3410</v>
      </c>
      <c r="E32" s="8" t="s">
        <v>3414</v>
      </c>
      <c r="F32" s="8" t="s">
        <v>888</v>
      </c>
      <c r="G32" s="8" t="s">
        <v>3411</v>
      </c>
      <c r="H32" s="8" t="s">
        <v>101</v>
      </c>
      <c r="I32" s="8" t="s">
        <v>3351</v>
      </c>
      <c r="J32" s="8" t="s">
        <v>3359</v>
      </c>
      <c r="K32" s="8" t="s">
        <v>111</v>
      </c>
      <c r="L32" s="9" t="s">
        <v>3353</v>
      </c>
    </row>
    <row r="33" spans="1:12">
      <c r="A33" s="10" t="s">
        <v>892</v>
      </c>
      <c r="B33" s="11" t="s">
        <v>893</v>
      </c>
      <c r="C33" s="11" t="s">
        <v>893</v>
      </c>
      <c r="D33" s="11" t="s">
        <v>3410</v>
      </c>
      <c r="E33" s="11" t="s">
        <v>3415</v>
      </c>
      <c r="F33" s="11" t="s">
        <v>894</v>
      </c>
      <c r="G33" s="11" t="s">
        <v>3411</v>
      </c>
      <c r="H33" s="11" t="s">
        <v>101</v>
      </c>
      <c r="I33" s="11" t="s">
        <v>3351</v>
      </c>
      <c r="J33" s="11" t="s">
        <v>3359</v>
      </c>
      <c r="K33" s="11" t="s">
        <v>111</v>
      </c>
      <c r="L33" s="12" t="s">
        <v>3353</v>
      </c>
    </row>
    <row r="34" spans="1:12">
      <c r="A34" s="7" t="s">
        <v>446</v>
      </c>
      <c r="B34" s="8" t="s">
        <v>447</v>
      </c>
      <c r="C34" s="8" t="s">
        <v>447</v>
      </c>
      <c r="D34" s="8" t="s">
        <v>3416</v>
      </c>
      <c r="E34" s="8" t="s">
        <v>3417</v>
      </c>
      <c r="F34" s="8" t="s">
        <v>448</v>
      </c>
      <c r="G34" s="8" t="s">
        <v>3418</v>
      </c>
      <c r="H34" s="8" t="s">
        <v>101</v>
      </c>
      <c r="I34" s="8" t="s">
        <v>3351</v>
      </c>
      <c r="J34" s="8" t="s">
        <v>3359</v>
      </c>
      <c r="K34" s="8" t="s">
        <v>111</v>
      </c>
      <c r="L34" s="9" t="s">
        <v>3353</v>
      </c>
    </row>
    <row r="35" spans="1:12">
      <c r="A35" s="10" t="s">
        <v>504</v>
      </c>
      <c r="B35" s="11" t="s">
        <v>505</v>
      </c>
      <c r="C35" s="11" t="s">
        <v>505</v>
      </c>
      <c r="D35" s="11" t="s">
        <v>3419</v>
      </c>
      <c r="E35" s="11" t="s">
        <v>3420</v>
      </c>
      <c r="F35" s="11" t="s">
        <v>506</v>
      </c>
      <c r="G35" s="11" t="s">
        <v>3418</v>
      </c>
      <c r="H35" s="11" t="s">
        <v>101</v>
      </c>
      <c r="I35" s="11" t="s">
        <v>3351</v>
      </c>
      <c r="J35" s="11" t="s">
        <v>3359</v>
      </c>
      <c r="K35" s="11" t="s">
        <v>111</v>
      </c>
      <c r="L35" s="12" t="s">
        <v>3353</v>
      </c>
    </row>
    <row r="36" spans="1:12">
      <c r="A36" s="7" t="s">
        <v>432</v>
      </c>
      <c r="B36" s="8" t="s">
        <v>433</v>
      </c>
      <c r="C36" s="8" t="s">
        <v>433</v>
      </c>
      <c r="D36" s="8" t="s">
        <v>3421</v>
      </c>
      <c r="E36" s="8" t="s">
        <v>3364</v>
      </c>
      <c r="F36" s="8" t="s">
        <v>434</v>
      </c>
      <c r="G36" s="8" t="s">
        <v>3406</v>
      </c>
      <c r="H36" s="8" t="s">
        <v>135</v>
      </c>
      <c r="I36" s="8" t="s">
        <v>3351</v>
      </c>
      <c r="J36" s="8" t="s">
        <v>3359</v>
      </c>
      <c r="K36" s="8" t="s">
        <v>111</v>
      </c>
      <c r="L36" s="9" t="s">
        <v>3353</v>
      </c>
    </row>
    <row r="37" ht="55" spans="1:12">
      <c r="A37" s="10" t="s">
        <v>900</v>
      </c>
      <c r="B37" s="11" t="s">
        <v>901</v>
      </c>
      <c r="C37" s="11" t="s">
        <v>901</v>
      </c>
      <c r="D37" s="11" t="s">
        <v>3422</v>
      </c>
      <c r="E37" s="11" t="s">
        <v>848</v>
      </c>
      <c r="F37" s="11" t="s">
        <v>902</v>
      </c>
      <c r="G37" s="11" t="s">
        <v>3423</v>
      </c>
      <c r="H37" s="11" t="s">
        <v>101</v>
      </c>
      <c r="I37" s="11" t="s">
        <v>3351</v>
      </c>
      <c r="J37" s="11" t="s">
        <v>3352</v>
      </c>
      <c r="K37" s="11" t="s">
        <v>111</v>
      </c>
      <c r="L37" s="12" t="s">
        <v>3353</v>
      </c>
    </row>
    <row r="38" spans="1:12">
      <c r="A38" s="7" t="s">
        <v>908</v>
      </c>
      <c r="B38" s="8" t="s">
        <v>909</v>
      </c>
      <c r="C38" s="8" t="s">
        <v>909</v>
      </c>
      <c r="D38" s="8" t="s">
        <v>3424</v>
      </c>
      <c r="E38" s="8" t="s">
        <v>3425</v>
      </c>
      <c r="F38" s="8" t="s">
        <v>910</v>
      </c>
      <c r="G38" s="8" t="s">
        <v>3423</v>
      </c>
      <c r="H38" s="8" t="s">
        <v>101</v>
      </c>
      <c r="I38" s="8" t="s">
        <v>3351</v>
      </c>
      <c r="J38" s="8" t="s">
        <v>3352</v>
      </c>
      <c r="K38" s="8" t="s">
        <v>111</v>
      </c>
      <c r="L38" s="9" t="s">
        <v>3353</v>
      </c>
    </row>
    <row r="39" spans="1:12">
      <c r="A39" s="10" t="s">
        <v>3426</v>
      </c>
      <c r="B39" s="11" t="s">
        <v>3427</v>
      </c>
      <c r="C39" s="11" t="s">
        <v>3427</v>
      </c>
      <c r="D39" s="11" t="s">
        <v>3428</v>
      </c>
      <c r="E39" s="11" t="s">
        <v>3429</v>
      </c>
      <c r="F39" s="11" t="s">
        <v>3430</v>
      </c>
      <c r="G39" s="11" t="s">
        <v>3431</v>
      </c>
      <c r="H39" s="11" t="s">
        <v>101</v>
      </c>
      <c r="I39" s="11" t="s">
        <v>3351</v>
      </c>
      <c r="J39" s="11" t="s">
        <v>3352</v>
      </c>
      <c r="K39" s="11" t="s">
        <v>111</v>
      </c>
      <c r="L39" s="12" t="s">
        <v>3353</v>
      </c>
    </row>
    <row r="40" ht="28" spans="1:12">
      <c r="A40" s="7" t="s">
        <v>240</v>
      </c>
      <c r="B40" s="8" t="s">
        <v>241</v>
      </c>
      <c r="C40" s="8" t="s">
        <v>241</v>
      </c>
      <c r="D40" s="8" t="s">
        <v>3432</v>
      </c>
      <c r="E40" s="8" t="s">
        <v>3433</v>
      </c>
      <c r="F40" s="8" t="s">
        <v>1252</v>
      </c>
      <c r="G40" s="8" t="s">
        <v>3434</v>
      </c>
      <c r="H40" s="8" t="s">
        <v>101</v>
      </c>
      <c r="I40" s="8" t="s">
        <v>3351</v>
      </c>
      <c r="J40" s="8" t="s">
        <v>3359</v>
      </c>
      <c r="K40" s="8" t="s">
        <v>111</v>
      </c>
      <c r="L40" s="9" t="s">
        <v>3353</v>
      </c>
    </row>
    <row r="41" spans="1:12">
      <c r="A41" s="10" t="s">
        <v>1518</v>
      </c>
      <c r="B41" s="11" t="s">
        <v>1519</v>
      </c>
      <c r="C41" s="11" t="s">
        <v>1519</v>
      </c>
      <c r="D41" s="11" t="s">
        <v>3435</v>
      </c>
      <c r="E41" s="11" t="s">
        <v>3436</v>
      </c>
      <c r="F41" s="11" t="s">
        <v>1520</v>
      </c>
      <c r="G41" s="11" t="s">
        <v>3437</v>
      </c>
      <c r="H41" s="11" t="s">
        <v>101</v>
      </c>
      <c r="I41" s="11" t="s">
        <v>3351</v>
      </c>
      <c r="J41" s="11" t="s">
        <v>3352</v>
      </c>
      <c r="K41" s="11" t="s">
        <v>111</v>
      </c>
      <c r="L41" s="12" t="s">
        <v>3353</v>
      </c>
    </row>
    <row r="42" spans="1:12">
      <c r="A42" s="7" t="s">
        <v>492</v>
      </c>
      <c r="B42" s="8" t="s">
        <v>486</v>
      </c>
      <c r="C42" s="8" t="s">
        <v>486</v>
      </c>
      <c r="D42" s="8" t="s">
        <v>3438</v>
      </c>
      <c r="E42" s="8" t="s">
        <v>3364</v>
      </c>
      <c r="F42" s="8" t="s">
        <v>493</v>
      </c>
      <c r="G42" s="8" t="s">
        <v>3406</v>
      </c>
      <c r="H42" s="8" t="s">
        <v>100</v>
      </c>
      <c r="I42" s="8" t="s">
        <v>3351</v>
      </c>
      <c r="J42" s="8" t="s">
        <v>3359</v>
      </c>
      <c r="K42" s="8" t="s">
        <v>111</v>
      </c>
      <c r="L42" s="9" t="s">
        <v>3353</v>
      </c>
    </row>
    <row r="43" spans="1:12">
      <c r="A43" s="10" t="s">
        <v>482</v>
      </c>
      <c r="B43" s="11" t="s">
        <v>475</v>
      </c>
      <c r="C43" s="11" t="s">
        <v>475</v>
      </c>
      <c r="D43" s="11" t="s">
        <v>3439</v>
      </c>
      <c r="E43" s="11" t="s">
        <v>3364</v>
      </c>
      <c r="F43" s="11" t="s">
        <v>483</v>
      </c>
      <c r="G43" s="11" t="s">
        <v>3406</v>
      </c>
      <c r="H43" s="11" t="s">
        <v>100</v>
      </c>
      <c r="I43" s="11" t="s">
        <v>3351</v>
      </c>
      <c r="J43" s="11" t="s">
        <v>3359</v>
      </c>
      <c r="K43" s="11" t="s">
        <v>111</v>
      </c>
      <c r="L43" s="12" t="s">
        <v>3353</v>
      </c>
    </row>
    <row r="44" spans="1:12">
      <c r="A44" s="7" t="s">
        <v>516</v>
      </c>
      <c r="B44" s="8" t="s">
        <v>510</v>
      </c>
      <c r="C44" s="8" t="s">
        <v>510</v>
      </c>
      <c r="D44" s="8" t="s">
        <v>3440</v>
      </c>
      <c r="E44" s="8" t="s">
        <v>3364</v>
      </c>
      <c r="F44" s="8" t="s">
        <v>517</v>
      </c>
      <c r="G44" s="8" t="s">
        <v>3406</v>
      </c>
      <c r="H44" s="8" t="s">
        <v>135</v>
      </c>
      <c r="I44" s="8" t="s">
        <v>3351</v>
      </c>
      <c r="J44" s="8" t="s">
        <v>3359</v>
      </c>
      <c r="K44" s="8" t="s">
        <v>111</v>
      </c>
      <c r="L44" s="9" t="s">
        <v>3353</v>
      </c>
    </row>
    <row r="45" spans="1:12">
      <c r="A45" s="10" t="s">
        <v>459</v>
      </c>
      <c r="B45" s="11" t="s">
        <v>452</v>
      </c>
      <c r="C45" s="11" t="s">
        <v>452</v>
      </c>
      <c r="D45" s="11" t="s">
        <v>3441</v>
      </c>
      <c r="E45" s="11" t="s">
        <v>3364</v>
      </c>
      <c r="F45" s="11" t="s">
        <v>460</v>
      </c>
      <c r="G45" s="11" t="s">
        <v>3406</v>
      </c>
      <c r="H45" s="11" t="s">
        <v>135</v>
      </c>
      <c r="I45" s="11" t="s">
        <v>3351</v>
      </c>
      <c r="J45" s="11" t="s">
        <v>3359</v>
      </c>
      <c r="K45" s="11" t="s">
        <v>111</v>
      </c>
      <c r="L45" s="12" t="s">
        <v>3353</v>
      </c>
    </row>
    <row r="46" spans="1:12">
      <c r="A46" s="7" t="s">
        <v>3442</v>
      </c>
      <c r="B46" s="8" t="s">
        <v>447</v>
      </c>
      <c r="C46" s="8" t="s">
        <v>447</v>
      </c>
      <c r="D46" s="8" t="s">
        <v>3443</v>
      </c>
      <c r="E46" s="8" t="s">
        <v>3444</v>
      </c>
      <c r="F46" s="8" t="s">
        <v>3445</v>
      </c>
      <c r="G46" s="8" t="s">
        <v>3418</v>
      </c>
      <c r="H46" s="8" t="s">
        <v>101</v>
      </c>
      <c r="I46" s="8" t="s">
        <v>3351</v>
      </c>
      <c r="J46" s="8" t="s">
        <v>3359</v>
      </c>
      <c r="K46" s="8" t="s">
        <v>111</v>
      </c>
      <c r="L46" s="9" t="s">
        <v>3353</v>
      </c>
    </row>
    <row r="47" spans="1:12">
      <c r="A47" s="10" t="s">
        <v>3446</v>
      </c>
      <c r="B47" s="11" t="s">
        <v>3447</v>
      </c>
      <c r="C47" s="11" t="s">
        <v>3447</v>
      </c>
      <c r="D47" s="11" t="s">
        <v>3448</v>
      </c>
      <c r="E47" s="11" t="s">
        <v>3449</v>
      </c>
      <c r="F47" s="11" t="s">
        <v>3450</v>
      </c>
      <c r="G47" s="11" t="s">
        <v>3451</v>
      </c>
      <c r="H47" s="11" t="s">
        <v>101</v>
      </c>
      <c r="I47" s="11" t="s">
        <v>3351</v>
      </c>
      <c r="J47" s="11" t="s">
        <v>3359</v>
      </c>
      <c r="K47" s="11" t="s">
        <v>111</v>
      </c>
      <c r="L47" s="12" t="s">
        <v>3353</v>
      </c>
    </row>
    <row r="48" spans="1:12">
      <c r="A48" s="7" t="s">
        <v>3452</v>
      </c>
      <c r="B48" s="8" t="s">
        <v>3453</v>
      </c>
      <c r="C48" s="8" t="s">
        <v>3453</v>
      </c>
      <c r="D48" s="8" t="s">
        <v>3454</v>
      </c>
      <c r="E48" s="8" t="s">
        <v>3455</v>
      </c>
      <c r="F48" s="8" t="s">
        <v>3456</v>
      </c>
      <c r="G48" s="8" t="s">
        <v>3457</v>
      </c>
      <c r="H48" s="8" t="s">
        <v>101</v>
      </c>
      <c r="I48" s="8" t="s">
        <v>3351</v>
      </c>
      <c r="J48" s="8" t="s">
        <v>3359</v>
      </c>
      <c r="K48" s="8" t="s">
        <v>111</v>
      </c>
      <c r="L48" s="9" t="s">
        <v>3353</v>
      </c>
    </row>
    <row r="49" spans="1:12">
      <c r="A49" s="10" t="s">
        <v>607</v>
      </c>
      <c r="B49" s="11" t="s">
        <v>608</v>
      </c>
      <c r="C49" s="11" t="s">
        <v>608</v>
      </c>
      <c r="D49" s="11" t="s">
        <v>3458</v>
      </c>
      <c r="E49" s="11" t="s">
        <v>3364</v>
      </c>
      <c r="F49" s="11" t="s">
        <v>609</v>
      </c>
      <c r="G49" s="11" t="s">
        <v>3459</v>
      </c>
      <c r="H49" s="11" t="s">
        <v>135</v>
      </c>
      <c r="I49" s="11" t="s">
        <v>3351</v>
      </c>
      <c r="J49" s="11" t="s">
        <v>3359</v>
      </c>
      <c r="K49" s="11" t="s">
        <v>111</v>
      </c>
      <c r="L49" s="12" t="s">
        <v>3353</v>
      </c>
    </row>
    <row r="50" spans="1:12">
      <c r="A50" s="7" t="s">
        <v>1473</v>
      </c>
      <c r="B50" s="8" t="s">
        <v>1468</v>
      </c>
      <c r="C50" s="8" t="s">
        <v>1468</v>
      </c>
      <c r="D50" s="8" t="s">
        <v>1469</v>
      </c>
      <c r="E50" s="8" t="s">
        <v>3460</v>
      </c>
      <c r="F50" s="8" t="s">
        <v>1474</v>
      </c>
      <c r="G50" s="8" t="s">
        <v>3350</v>
      </c>
      <c r="H50" s="8" t="s">
        <v>101</v>
      </c>
      <c r="I50" s="8" t="s">
        <v>3351</v>
      </c>
      <c r="J50" s="8" t="s">
        <v>3352</v>
      </c>
      <c r="K50" s="8" t="s">
        <v>111</v>
      </c>
      <c r="L50" s="9" t="s">
        <v>3353</v>
      </c>
    </row>
    <row r="51" ht="28" spans="1:12">
      <c r="A51" s="10" t="s">
        <v>1797</v>
      </c>
      <c r="B51" s="11" t="s">
        <v>599</v>
      </c>
      <c r="C51" s="11" t="s">
        <v>599</v>
      </c>
      <c r="D51" s="11" t="s">
        <v>3461</v>
      </c>
      <c r="E51" s="11" t="s">
        <v>3462</v>
      </c>
      <c r="F51" s="11" t="s">
        <v>3463</v>
      </c>
      <c r="G51" s="11" t="s">
        <v>3464</v>
      </c>
      <c r="H51" s="11" t="s">
        <v>101</v>
      </c>
      <c r="I51" s="11" t="s">
        <v>3465</v>
      </c>
      <c r="J51" s="11" t="s">
        <v>3352</v>
      </c>
      <c r="K51" s="11" t="s">
        <v>111</v>
      </c>
      <c r="L51" s="12" t="s">
        <v>3353</v>
      </c>
    </row>
    <row r="52" ht="28" spans="1:12">
      <c r="A52" s="7" t="s">
        <v>598</v>
      </c>
      <c r="B52" s="8" t="s">
        <v>599</v>
      </c>
      <c r="C52" s="8" t="s">
        <v>599</v>
      </c>
      <c r="D52" s="8" t="s">
        <v>3466</v>
      </c>
      <c r="E52" s="8" t="s">
        <v>3467</v>
      </c>
      <c r="F52" s="8" t="s">
        <v>600</v>
      </c>
      <c r="G52" s="8" t="s">
        <v>3468</v>
      </c>
      <c r="H52" s="8" t="s">
        <v>101</v>
      </c>
      <c r="I52" s="8" t="s">
        <v>3465</v>
      </c>
      <c r="J52" s="8" t="s">
        <v>3352</v>
      </c>
      <c r="K52" s="8" t="s">
        <v>111</v>
      </c>
      <c r="L52" s="9" t="s">
        <v>3353</v>
      </c>
    </row>
    <row r="53" spans="1:12">
      <c r="A53" s="10" t="s">
        <v>947</v>
      </c>
      <c r="B53" s="11" t="s">
        <v>948</v>
      </c>
      <c r="C53" s="11" t="s">
        <v>948</v>
      </c>
      <c r="D53" s="11" t="s">
        <v>3469</v>
      </c>
      <c r="E53" s="11" t="s">
        <v>3470</v>
      </c>
      <c r="F53" s="11" t="s">
        <v>949</v>
      </c>
      <c r="G53" s="11" t="s">
        <v>3358</v>
      </c>
      <c r="H53" s="11" t="s">
        <v>101</v>
      </c>
      <c r="I53" s="11" t="s">
        <v>3465</v>
      </c>
      <c r="J53" s="11" t="s">
        <v>3359</v>
      </c>
      <c r="K53" s="11" t="s">
        <v>111</v>
      </c>
      <c r="L53" s="12" t="s">
        <v>3353</v>
      </c>
    </row>
    <row r="54" spans="1:12">
      <c r="A54" s="7" t="s">
        <v>915</v>
      </c>
      <c r="B54" s="8" t="s">
        <v>852</v>
      </c>
      <c r="C54" s="8" t="s">
        <v>852</v>
      </c>
      <c r="D54" s="8" t="s">
        <v>3471</v>
      </c>
      <c r="E54" s="8" t="s">
        <v>3472</v>
      </c>
      <c r="F54" s="8" t="s">
        <v>916</v>
      </c>
      <c r="G54" s="8" t="s">
        <v>847</v>
      </c>
      <c r="H54" s="8" t="s">
        <v>101</v>
      </c>
      <c r="I54" s="8" t="s">
        <v>3465</v>
      </c>
      <c r="J54" s="8" t="s">
        <v>3352</v>
      </c>
      <c r="K54" s="8" t="s">
        <v>111</v>
      </c>
      <c r="L54" s="9" t="s">
        <v>3353</v>
      </c>
    </row>
    <row r="55" spans="1:12">
      <c r="A55" s="10" t="s">
        <v>925</v>
      </c>
      <c r="B55" s="11" t="s">
        <v>926</v>
      </c>
      <c r="C55" s="11" t="s">
        <v>926</v>
      </c>
      <c r="D55" s="11" t="s">
        <v>3473</v>
      </c>
      <c r="E55" s="11" t="s">
        <v>3474</v>
      </c>
      <c r="F55" s="11" t="s">
        <v>927</v>
      </c>
      <c r="G55" s="11" t="s">
        <v>3475</v>
      </c>
      <c r="H55" s="11" t="s">
        <v>101</v>
      </c>
      <c r="I55" s="11" t="s">
        <v>3465</v>
      </c>
      <c r="J55" s="11" t="s">
        <v>3352</v>
      </c>
      <c r="K55" s="11" t="s">
        <v>111</v>
      </c>
      <c r="L55" s="12" t="s">
        <v>3353</v>
      </c>
    </row>
    <row r="56" spans="1:12">
      <c r="A56" s="7" t="s">
        <v>1654</v>
      </c>
      <c r="B56" s="8" t="s">
        <v>1649</v>
      </c>
      <c r="C56" s="8" t="s">
        <v>1649</v>
      </c>
      <c r="D56" s="8" t="s">
        <v>1650</v>
      </c>
      <c r="E56" s="8" t="s">
        <v>3476</v>
      </c>
      <c r="F56" s="8" t="s">
        <v>1655</v>
      </c>
      <c r="G56" s="8" t="s">
        <v>3477</v>
      </c>
      <c r="H56" s="8" t="s">
        <v>101</v>
      </c>
      <c r="I56" s="8" t="s">
        <v>3465</v>
      </c>
      <c r="J56" s="8" t="s">
        <v>3352</v>
      </c>
      <c r="K56" s="8" t="s">
        <v>111</v>
      </c>
      <c r="L56" s="9" t="s">
        <v>3353</v>
      </c>
    </row>
    <row r="57" spans="1:12">
      <c r="A57" s="10" t="s">
        <v>2936</v>
      </c>
      <c r="B57" s="11" t="s">
        <v>342</v>
      </c>
      <c r="C57" s="11" t="s">
        <v>342</v>
      </c>
      <c r="D57" s="11" t="s">
        <v>3478</v>
      </c>
      <c r="E57" s="11" t="s">
        <v>3479</v>
      </c>
      <c r="F57" s="11" t="s">
        <v>2937</v>
      </c>
      <c r="G57" s="11" t="s">
        <v>3480</v>
      </c>
      <c r="H57" s="11" t="s">
        <v>101</v>
      </c>
      <c r="I57" s="11" t="s">
        <v>3465</v>
      </c>
      <c r="J57" s="11" t="s">
        <v>3352</v>
      </c>
      <c r="K57" s="11" t="s">
        <v>111</v>
      </c>
      <c r="L57" s="12" t="s">
        <v>3353</v>
      </c>
    </row>
    <row r="58" spans="1:12">
      <c r="A58" s="7" t="s">
        <v>1627</v>
      </c>
      <c r="B58" s="8" t="s">
        <v>342</v>
      </c>
      <c r="C58" s="8" t="s">
        <v>342</v>
      </c>
      <c r="D58" s="8" t="s">
        <v>1623</v>
      </c>
      <c r="E58" s="8" t="s">
        <v>3481</v>
      </c>
      <c r="F58" s="8" t="s">
        <v>1628</v>
      </c>
      <c r="G58" s="8" t="s">
        <v>3482</v>
      </c>
      <c r="H58" s="8" t="s">
        <v>101</v>
      </c>
      <c r="I58" s="8" t="s">
        <v>3465</v>
      </c>
      <c r="J58" s="8" t="s">
        <v>3352</v>
      </c>
      <c r="K58" s="8" t="s">
        <v>111</v>
      </c>
      <c r="L58" s="9" t="s">
        <v>3353</v>
      </c>
    </row>
    <row r="59" ht="28" spans="1:12">
      <c r="A59" s="10" t="s">
        <v>1726</v>
      </c>
      <c r="B59" s="11" t="s">
        <v>108</v>
      </c>
      <c r="C59" s="11" t="s">
        <v>108</v>
      </c>
      <c r="D59" s="11" t="s">
        <v>1722</v>
      </c>
      <c r="E59" s="11" t="s">
        <v>3483</v>
      </c>
      <c r="F59" s="11" t="s">
        <v>1727</v>
      </c>
      <c r="G59" s="11" t="s">
        <v>3484</v>
      </c>
      <c r="H59" s="11" t="s">
        <v>101</v>
      </c>
      <c r="I59" s="11" t="s">
        <v>3465</v>
      </c>
      <c r="J59" s="11" t="s">
        <v>3352</v>
      </c>
      <c r="K59" s="11" t="s">
        <v>111</v>
      </c>
      <c r="L59" s="12" t="s">
        <v>3353</v>
      </c>
    </row>
    <row r="60" spans="1:12">
      <c r="A60" s="7" t="s">
        <v>1413</v>
      </c>
      <c r="B60" s="8" t="s">
        <v>1331</v>
      </c>
      <c r="C60" s="8" t="s">
        <v>1331</v>
      </c>
      <c r="D60" s="8" t="s">
        <v>3485</v>
      </c>
      <c r="E60" s="8" t="s">
        <v>3389</v>
      </c>
      <c r="F60" s="8" t="s">
        <v>1332</v>
      </c>
      <c r="G60" s="8" t="s">
        <v>3486</v>
      </c>
      <c r="H60" s="8" t="s">
        <v>101</v>
      </c>
      <c r="I60" s="8" t="s">
        <v>3465</v>
      </c>
      <c r="J60" s="8" t="s">
        <v>3352</v>
      </c>
      <c r="K60" s="8" t="s">
        <v>111</v>
      </c>
      <c r="L60" s="9" t="s">
        <v>3353</v>
      </c>
    </row>
    <row r="61" spans="1:12">
      <c r="A61" s="10" t="s">
        <v>1234</v>
      </c>
      <c r="B61" s="11" t="s">
        <v>1235</v>
      </c>
      <c r="C61" s="11" t="s">
        <v>1235</v>
      </c>
      <c r="D61" s="11" t="s">
        <v>3487</v>
      </c>
      <c r="E61" s="11" t="s">
        <v>3397</v>
      </c>
      <c r="F61" s="11" t="s">
        <v>1236</v>
      </c>
      <c r="G61" s="11" t="s">
        <v>3488</v>
      </c>
      <c r="H61" s="11" t="s">
        <v>101</v>
      </c>
      <c r="I61" s="11" t="s">
        <v>3465</v>
      </c>
      <c r="J61" s="11" t="s">
        <v>3352</v>
      </c>
      <c r="K61" s="11" t="s">
        <v>111</v>
      </c>
      <c r="L61" s="12" t="s">
        <v>3353</v>
      </c>
    </row>
    <row r="62" ht="28" spans="1:12">
      <c r="A62" s="7" t="s">
        <v>995</v>
      </c>
      <c r="B62" s="8" t="s">
        <v>996</v>
      </c>
      <c r="C62" s="8" t="s">
        <v>996</v>
      </c>
      <c r="D62" s="8" t="s">
        <v>3489</v>
      </c>
      <c r="E62" s="8" t="s">
        <v>3490</v>
      </c>
      <c r="F62" s="8" t="s">
        <v>997</v>
      </c>
      <c r="G62" s="8" t="s">
        <v>3491</v>
      </c>
      <c r="H62" s="8" t="s">
        <v>101</v>
      </c>
      <c r="I62" s="8" t="s">
        <v>3465</v>
      </c>
      <c r="J62" s="8" t="s">
        <v>3359</v>
      </c>
      <c r="K62" s="8" t="s">
        <v>111</v>
      </c>
      <c r="L62" s="9" t="s">
        <v>3353</v>
      </c>
    </row>
    <row r="63" spans="1:12">
      <c r="A63" s="10" t="s">
        <v>989</v>
      </c>
      <c r="B63" s="11" t="s">
        <v>108</v>
      </c>
      <c r="C63" s="11" t="s">
        <v>108</v>
      </c>
      <c r="D63" s="11" t="s">
        <v>3492</v>
      </c>
      <c r="E63" s="11" t="s">
        <v>3392</v>
      </c>
      <c r="F63" s="11" t="s">
        <v>990</v>
      </c>
      <c r="G63" s="11" t="s">
        <v>3493</v>
      </c>
      <c r="H63" s="11" t="s">
        <v>100</v>
      </c>
      <c r="I63" s="11" t="s">
        <v>3465</v>
      </c>
      <c r="J63" s="11" t="s">
        <v>3352</v>
      </c>
      <c r="K63" s="11" t="s">
        <v>111</v>
      </c>
      <c r="L63" s="12" t="s">
        <v>3353</v>
      </c>
    </row>
    <row r="64" spans="1:12">
      <c r="A64" s="7" t="s">
        <v>3121</v>
      </c>
      <c r="B64" s="8" t="s">
        <v>3029</v>
      </c>
      <c r="C64" s="8" t="s">
        <v>3029</v>
      </c>
      <c r="D64" s="8" t="s">
        <v>3494</v>
      </c>
      <c r="E64" s="8" t="s">
        <v>3495</v>
      </c>
      <c r="F64" s="8" t="s">
        <v>3030</v>
      </c>
      <c r="G64" s="8" t="s">
        <v>3362</v>
      </c>
      <c r="H64" s="8" t="s">
        <v>101</v>
      </c>
      <c r="I64" s="8" t="s">
        <v>3465</v>
      </c>
      <c r="J64" s="8" t="s">
        <v>3359</v>
      </c>
      <c r="K64" s="8" t="s">
        <v>111</v>
      </c>
      <c r="L64" s="9" t="s">
        <v>3353</v>
      </c>
    </row>
    <row r="65" spans="1:12">
      <c r="A65" s="10" t="s">
        <v>3128</v>
      </c>
      <c r="B65" s="11" t="s">
        <v>108</v>
      </c>
      <c r="C65" s="11" t="s">
        <v>108</v>
      </c>
      <c r="D65" s="11" t="s">
        <v>3496</v>
      </c>
      <c r="E65" s="11" t="s">
        <v>3371</v>
      </c>
      <c r="F65" s="11" t="s">
        <v>3129</v>
      </c>
      <c r="G65" s="11" t="s">
        <v>3497</v>
      </c>
      <c r="H65" s="11" t="s">
        <v>101</v>
      </c>
      <c r="I65" s="11" t="s">
        <v>3465</v>
      </c>
      <c r="J65" s="11" t="s">
        <v>3352</v>
      </c>
      <c r="K65" s="11" t="s">
        <v>111</v>
      </c>
      <c r="L65" s="12" t="s">
        <v>3353</v>
      </c>
    </row>
    <row r="66" ht="28" spans="1:12">
      <c r="A66" s="7" t="s">
        <v>3147</v>
      </c>
      <c r="B66" s="8" t="s">
        <v>871</v>
      </c>
      <c r="C66" s="8" t="s">
        <v>871</v>
      </c>
      <c r="D66" s="8" t="s">
        <v>3498</v>
      </c>
      <c r="E66" s="8" t="s">
        <v>3361</v>
      </c>
      <c r="F66" s="8" t="s">
        <v>872</v>
      </c>
      <c r="G66" s="8" t="s">
        <v>3362</v>
      </c>
      <c r="H66" s="8" t="s">
        <v>101</v>
      </c>
      <c r="I66" s="8" t="s">
        <v>3465</v>
      </c>
      <c r="J66" s="8" t="s">
        <v>3359</v>
      </c>
      <c r="K66" s="8" t="s">
        <v>111</v>
      </c>
      <c r="L66" s="9" t="s">
        <v>3353</v>
      </c>
    </row>
    <row r="67" spans="1:12">
      <c r="A67" s="10" t="s">
        <v>1751</v>
      </c>
      <c r="B67" s="11" t="s">
        <v>1752</v>
      </c>
      <c r="C67" s="11" t="s">
        <v>1752</v>
      </c>
      <c r="D67" s="11" t="s">
        <v>3499</v>
      </c>
      <c r="E67" s="11" t="s">
        <v>848</v>
      </c>
      <c r="F67" s="11" t="s">
        <v>1753</v>
      </c>
      <c r="G67" s="11" t="s">
        <v>3367</v>
      </c>
      <c r="H67" s="11" t="s">
        <v>101</v>
      </c>
      <c r="I67" s="11" t="s">
        <v>3465</v>
      </c>
      <c r="J67" s="11" t="s">
        <v>3359</v>
      </c>
      <c r="K67" s="11" t="s">
        <v>111</v>
      </c>
      <c r="L67" s="12" t="s">
        <v>3353</v>
      </c>
    </row>
    <row r="68" spans="1:12">
      <c r="A68" s="7" t="s">
        <v>1780</v>
      </c>
      <c r="B68" s="8" t="s">
        <v>108</v>
      </c>
      <c r="C68" s="8" t="s">
        <v>108</v>
      </c>
      <c r="D68" s="8" t="s">
        <v>1776</v>
      </c>
      <c r="E68" s="8" t="s">
        <v>3500</v>
      </c>
      <c r="F68" s="8" t="s">
        <v>1781</v>
      </c>
      <c r="G68" s="8" t="s">
        <v>3501</v>
      </c>
      <c r="H68" s="8" t="s">
        <v>101</v>
      </c>
      <c r="I68" s="8" t="s">
        <v>3465</v>
      </c>
      <c r="J68" s="8" t="s">
        <v>3352</v>
      </c>
      <c r="K68" s="8" t="s">
        <v>111</v>
      </c>
      <c r="L68" s="9" t="s">
        <v>3353</v>
      </c>
    </row>
    <row r="69" spans="1:12">
      <c r="A69" s="10" t="s">
        <v>697</v>
      </c>
      <c r="B69" s="11" t="s">
        <v>376</v>
      </c>
      <c r="C69" s="11" t="s">
        <v>376</v>
      </c>
      <c r="D69" s="11" t="s">
        <v>3502</v>
      </c>
      <c r="E69" s="11" t="s">
        <v>3495</v>
      </c>
      <c r="F69" s="11" t="s">
        <v>387</v>
      </c>
      <c r="G69" s="11" t="s">
        <v>3503</v>
      </c>
      <c r="H69" s="11" t="s">
        <v>100</v>
      </c>
      <c r="I69" s="11" t="s">
        <v>3465</v>
      </c>
      <c r="J69" s="11" t="s">
        <v>3359</v>
      </c>
      <c r="K69" s="11" t="s">
        <v>111</v>
      </c>
      <c r="L69" s="12" t="s">
        <v>3353</v>
      </c>
    </row>
    <row r="70" spans="1:12">
      <c r="A70" s="7" t="s">
        <v>706</v>
      </c>
      <c r="B70" s="8" t="s">
        <v>376</v>
      </c>
      <c r="C70" s="8" t="s">
        <v>376</v>
      </c>
      <c r="D70" s="8" t="s">
        <v>3504</v>
      </c>
      <c r="E70" s="8" t="s">
        <v>3505</v>
      </c>
      <c r="F70" s="8" t="s">
        <v>707</v>
      </c>
      <c r="G70" s="8" t="s">
        <v>3503</v>
      </c>
      <c r="H70" s="8" t="s">
        <v>100</v>
      </c>
      <c r="I70" s="8" t="s">
        <v>3465</v>
      </c>
      <c r="J70" s="8" t="s">
        <v>3359</v>
      </c>
      <c r="K70" s="8" t="s">
        <v>111</v>
      </c>
      <c r="L70" s="9" t="s">
        <v>3353</v>
      </c>
    </row>
    <row r="71" spans="1:12">
      <c r="A71" s="10" t="s">
        <v>588</v>
      </c>
      <c r="B71" s="11" t="s">
        <v>580</v>
      </c>
      <c r="C71" s="11" t="s">
        <v>580</v>
      </c>
      <c r="D71" s="11" t="s">
        <v>3506</v>
      </c>
      <c r="E71" s="11" t="s">
        <v>3495</v>
      </c>
      <c r="F71" s="11" t="s">
        <v>589</v>
      </c>
      <c r="G71" s="11" t="s">
        <v>3503</v>
      </c>
      <c r="H71" s="11" t="s">
        <v>100</v>
      </c>
      <c r="I71" s="11" t="s">
        <v>3465</v>
      </c>
      <c r="J71" s="11" t="s">
        <v>3359</v>
      </c>
      <c r="K71" s="11" t="s">
        <v>111</v>
      </c>
      <c r="L71" s="12" t="s">
        <v>3353</v>
      </c>
    </row>
    <row r="72" spans="1:12">
      <c r="A72" s="7" t="s">
        <v>3507</v>
      </c>
      <c r="B72" s="8" t="s">
        <v>463</v>
      </c>
      <c r="C72" s="8" t="s">
        <v>463</v>
      </c>
      <c r="D72" s="8" t="s">
        <v>3508</v>
      </c>
      <c r="E72" s="8" t="s">
        <v>3495</v>
      </c>
      <c r="F72" s="8" t="s">
        <v>3509</v>
      </c>
      <c r="G72" s="8" t="s">
        <v>3503</v>
      </c>
      <c r="H72" s="8" t="s">
        <v>100</v>
      </c>
      <c r="I72" s="8" t="s">
        <v>3465</v>
      </c>
      <c r="J72" s="8" t="s">
        <v>3359</v>
      </c>
      <c r="K72" s="8" t="s">
        <v>111</v>
      </c>
      <c r="L72" s="9" t="s">
        <v>3353</v>
      </c>
    </row>
    <row r="73" spans="1:12">
      <c r="A73" s="10" t="s">
        <v>3510</v>
      </c>
      <c r="B73" s="11" t="s">
        <v>463</v>
      </c>
      <c r="C73" s="11" t="s">
        <v>463</v>
      </c>
      <c r="D73" s="11" t="s">
        <v>462</v>
      </c>
      <c r="E73" s="11" t="s">
        <v>3495</v>
      </c>
      <c r="F73" s="11" t="s">
        <v>3511</v>
      </c>
      <c r="G73" s="11" t="s">
        <v>3512</v>
      </c>
      <c r="H73" s="11" t="s">
        <v>100</v>
      </c>
      <c r="I73" s="11" t="s">
        <v>3465</v>
      </c>
      <c r="J73" s="11" t="s">
        <v>3359</v>
      </c>
      <c r="K73" s="11" t="s">
        <v>111</v>
      </c>
      <c r="L73" s="12" t="s">
        <v>3353</v>
      </c>
    </row>
    <row r="74" spans="1:12">
      <c r="A74" s="7" t="s">
        <v>688</v>
      </c>
      <c r="B74" s="8" t="s">
        <v>612</v>
      </c>
      <c r="C74" s="8" t="s">
        <v>612</v>
      </c>
      <c r="D74" s="8" t="s">
        <v>3513</v>
      </c>
      <c r="E74" s="8" t="s">
        <v>3495</v>
      </c>
      <c r="F74" s="8" t="s">
        <v>689</v>
      </c>
      <c r="G74" s="8" t="s">
        <v>3503</v>
      </c>
      <c r="H74" s="8" t="s">
        <v>100</v>
      </c>
      <c r="I74" s="8" t="s">
        <v>3465</v>
      </c>
      <c r="J74" s="8" t="s">
        <v>3359</v>
      </c>
      <c r="K74" s="8" t="s">
        <v>111</v>
      </c>
      <c r="L74" s="9" t="s">
        <v>3353</v>
      </c>
    </row>
    <row r="75" spans="1:12">
      <c r="A75" s="10" t="s">
        <v>3514</v>
      </c>
      <c r="B75" s="11" t="s">
        <v>402</v>
      </c>
      <c r="C75" s="11" t="s">
        <v>402</v>
      </c>
      <c r="D75" s="11" t="s">
        <v>3515</v>
      </c>
      <c r="E75" s="11" t="s">
        <v>3495</v>
      </c>
      <c r="F75" s="11" t="s">
        <v>410</v>
      </c>
      <c r="G75" s="11" t="s">
        <v>3503</v>
      </c>
      <c r="H75" s="11" t="s">
        <v>100</v>
      </c>
      <c r="I75" s="11" t="s">
        <v>3465</v>
      </c>
      <c r="J75" s="11" t="s">
        <v>3359</v>
      </c>
      <c r="K75" s="11" t="s">
        <v>111</v>
      </c>
      <c r="L75" s="12" t="s">
        <v>3353</v>
      </c>
    </row>
    <row r="76" spans="1:12">
      <c r="A76" s="7" t="s">
        <v>3516</v>
      </c>
      <c r="B76" s="8" t="s">
        <v>626</v>
      </c>
      <c r="C76" s="8" t="s">
        <v>626</v>
      </c>
      <c r="D76" s="8" t="s">
        <v>3517</v>
      </c>
      <c r="E76" s="8" t="s">
        <v>3495</v>
      </c>
      <c r="F76" s="8" t="s">
        <v>3518</v>
      </c>
      <c r="G76" s="8" t="s">
        <v>3503</v>
      </c>
      <c r="H76" s="8" t="s">
        <v>100</v>
      </c>
      <c r="I76" s="8" t="s">
        <v>3465</v>
      </c>
      <c r="J76" s="8" t="s">
        <v>3359</v>
      </c>
      <c r="K76" s="8" t="s">
        <v>111</v>
      </c>
      <c r="L76" s="9" t="s">
        <v>3353</v>
      </c>
    </row>
    <row r="77" spans="1:12">
      <c r="A77" s="10" t="s">
        <v>3519</v>
      </c>
      <c r="B77" s="11" t="s">
        <v>637</v>
      </c>
      <c r="C77" s="11" t="s">
        <v>637</v>
      </c>
      <c r="D77" s="11" t="s">
        <v>636</v>
      </c>
      <c r="E77" s="11" t="s">
        <v>3495</v>
      </c>
      <c r="F77" s="11" t="s">
        <v>3520</v>
      </c>
      <c r="G77" s="11" t="s">
        <v>3503</v>
      </c>
      <c r="H77" s="11" t="s">
        <v>100</v>
      </c>
      <c r="I77" s="11" t="s">
        <v>3465</v>
      </c>
      <c r="J77" s="11" t="s">
        <v>3359</v>
      </c>
      <c r="K77" s="11" t="s">
        <v>111</v>
      </c>
      <c r="L77" s="12" t="s">
        <v>3353</v>
      </c>
    </row>
    <row r="78" spans="1:12">
      <c r="A78" s="7" t="s">
        <v>1007</v>
      </c>
      <c r="B78" s="8" t="s">
        <v>909</v>
      </c>
      <c r="C78" s="8" t="s">
        <v>909</v>
      </c>
      <c r="D78" s="8" t="s">
        <v>3521</v>
      </c>
      <c r="E78" s="8" t="s">
        <v>3522</v>
      </c>
      <c r="F78" s="8" t="s">
        <v>1008</v>
      </c>
      <c r="G78" s="8" t="s">
        <v>3423</v>
      </c>
      <c r="H78" s="8" t="s">
        <v>101</v>
      </c>
      <c r="I78" s="8" t="s">
        <v>3465</v>
      </c>
      <c r="J78" s="8" t="s">
        <v>3352</v>
      </c>
      <c r="K78" s="8" t="s">
        <v>111</v>
      </c>
      <c r="L78" s="9" t="s">
        <v>3353</v>
      </c>
    </row>
    <row r="79" ht="55" spans="1:12">
      <c r="A79" s="10" t="s">
        <v>1013</v>
      </c>
      <c r="B79" s="11" t="s">
        <v>1014</v>
      </c>
      <c r="C79" s="11" t="s">
        <v>1014</v>
      </c>
      <c r="D79" s="11" t="s">
        <v>3523</v>
      </c>
      <c r="E79" s="11" t="s">
        <v>3524</v>
      </c>
      <c r="F79" s="11" t="s">
        <v>1015</v>
      </c>
      <c r="G79" s="11" t="s">
        <v>3423</v>
      </c>
      <c r="H79" s="11" t="s">
        <v>101</v>
      </c>
      <c r="I79" s="11" t="s">
        <v>3465</v>
      </c>
      <c r="J79" s="11" t="s">
        <v>3352</v>
      </c>
      <c r="K79" s="11" t="s">
        <v>111</v>
      </c>
      <c r="L79" s="12" t="s">
        <v>3353</v>
      </c>
    </row>
    <row r="80" ht="28" spans="1:12">
      <c r="A80" s="7" t="s">
        <v>1683</v>
      </c>
      <c r="B80" s="8" t="s">
        <v>1331</v>
      </c>
      <c r="C80" s="8" t="s">
        <v>1331</v>
      </c>
      <c r="D80" s="8" t="s">
        <v>1679</v>
      </c>
      <c r="E80" s="8" t="s">
        <v>3525</v>
      </c>
      <c r="F80" s="8" t="s">
        <v>1684</v>
      </c>
      <c r="G80" s="8" t="s">
        <v>3526</v>
      </c>
      <c r="H80" s="8" t="s">
        <v>101</v>
      </c>
      <c r="I80" s="8" t="s">
        <v>3465</v>
      </c>
      <c r="J80" s="8" t="s">
        <v>3352</v>
      </c>
      <c r="K80" s="8" t="s">
        <v>111</v>
      </c>
      <c r="L80" s="9" t="s">
        <v>3353</v>
      </c>
    </row>
    <row r="81" spans="1:12">
      <c r="A81" s="10" t="s">
        <v>1691</v>
      </c>
      <c r="B81" s="11" t="s">
        <v>1686</v>
      </c>
      <c r="C81" s="11" t="s">
        <v>1686</v>
      </c>
      <c r="D81" s="11" t="s">
        <v>1687</v>
      </c>
      <c r="E81" s="11" t="s">
        <v>3527</v>
      </c>
      <c r="F81" s="11" t="s">
        <v>1692</v>
      </c>
      <c r="G81" s="11" t="s">
        <v>3528</v>
      </c>
      <c r="H81" s="11" t="s">
        <v>101</v>
      </c>
      <c r="I81" s="11" t="s">
        <v>3465</v>
      </c>
      <c r="J81" s="11" t="s">
        <v>3352</v>
      </c>
      <c r="K81" s="11" t="s">
        <v>111</v>
      </c>
      <c r="L81" s="12" t="s">
        <v>3353</v>
      </c>
    </row>
    <row r="82" spans="1:12">
      <c r="A82" s="7" t="s">
        <v>1699</v>
      </c>
      <c r="B82" s="8" t="s">
        <v>1694</v>
      </c>
      <c r="C82" s="8" t="s">
        <v>1694</v>
      </c>
      <c r="D82" s="8" t="s">
        <v>1695</v>
      </c>
      <c r="E82" s="8" t="s">
        <v>3433</v>
      </c>
      <c r="F82" s="8" t="s">
        <v>1700</v>
      </c>
      <c r="G82" s="8" t="s">
        <v>3529</v>
      </c>
      <c r="H82" s="8" t="s">
        <v>101</v>
      </c>
      <c r="I82" s="8" t="s">
        <v>3465</v>
      </c>
      <c r="J82" s="8" t="s">
        <v>3352</v>
      </c>
      <c r="K82" s="8" t="s">
        <v>111</v>
      </c>
      <c r="L82" s="9" t="s">
        <v>3353</v>
      </c>
    </row>
    <row r="83" spans="1:12">
      <c r="A83" s="10" t="s">
        <v>1719</v>
      </c>
      <c r="B83" s="11" t="s">
        <v>1714</v>
      </c>
      <c r="C83" s="11" t="s">
        <v>1714</v>
      </c>
      <c r="D83" s="11" t="s">
        <v>3530</v>
      </c>
      <c r="E83" s="11" t="s">
        <v>3531</v>
      </c>
      <c r="F83" s="11" t="s">
        <v>1720</v>
      </c>
      <c r="G83" s="11" t="s">
        <v>3532</v>
      </c>
      <c r="H83" s="11" t="s">
        <v>101</v>
      </c>
      <c r="I83" s="11" t="s">
        <v>3465</v>
      </c>
      <c r="J83" s="11" t="s">
        <v>3352</v>
      </c>
      <c r="K83" s="11" t="s">
        <v>111</v>
      </c>
      <c r="L83" s="12" t="s">
        <v>3353</v>
      </c>
    </row>
    <row r="84" spans="1:12">
      <c r="A84" s="7" t="s">
        <v>3533</v>
      </c>
      <c r="B84" s="8" t="s">
        <v>108</v>
      </c>
      <c r="C84" s="8" t="s">
        <v>108</v>
      </c>
      <c r="D84" s="8" t="s">
        <v>3534</v>
      </c>
      <c r="E84" s="8" t="s">
        <v>3535</v>
      </c>
      <c r="F84" s="8" t="s">
        <v>3536</v>
      </c>
      <c r="G84" s="8" t="s">
        <v>3537</v>
      </c>
      <c r="H84" s="8" t="s">
        <v>100</v>
      </c>
      <c r="I84" s="8" t="s">
        <v>3465</v>
      </c>
      <c r="J84" s="8" t="s">
        <v>3352</v>
      </c>
      <c r="K84" s="8" t="s">
        <v>111</v>
      </c>
      <c r="L84" s="9" t="s">
        <v>3353</v>
      </c>
    </row>
    <row r="85" spans="1:12">
      <c r="A85" s="10" t="s">
        <v>982</v>
      </c>
      <c r="B85" s="11" t="s">
        <v>983</v>
      </c>
      <c r="C85" s="11" t="s">
        <v>983</v>
      </c>
      <c r="D85" s="11" t="s">
        <v>3538</v>
      </c>
      <c r="E85" s="11" t="s">
        <v>3539</v>
      </c>
      <c r="F85" s="11" t="s">
        <v>984</v>
      </c>
      <c r="G85" s="11" t="s">
        <v>3540</v>
      </c>
      <c r="H85" s="11" t="s">
        <v>101</v>
      </c>
      <c r="I85" s="11" t="s">
        <v>3465</v>
      </c>
      <c r="J85" s="11" t="s">
        <v>3359</v>
      </c>
      <c r="K85" s="11" t="s">
        <v>111</v>
      </c>
      <c r="L85" s="12" t="s">
        <v>3353</v>
      </c>
    </row>
    <row r="86" ht="28" spans="1:12">
      <c r="A86" s="7" t="s">
        <v>1788</v>
      </c>
      <c r="B86" s="8" t="s">
        <v>1789</v>
      </c>
      <c r="C86" s="8" t="s">
        <v>1789</v>
      </c>
      <c r="D86" s="8" t="s">
        <v>3541</v>
      </c>
      <c r="E86" s="8" t="s">
        <v>848</v>
      </c>
      <c r="F86" s="8" t="s">
        <v>1790</v>
      </c>
      <c r="G86" s="8" t="s">
        <v>3542</v>
      </c>
      <c r="H86" s="8" t="s">
        <v>101</v>
      </c>
      <c r="I86" s="8" t="s">
        <v>3465</v>
      </c>
      <c r="J86" s="8" t="s">
        <v>3352</v>
      </c>
      <c r="K86" s="8" t="s">
        <v>111</v>
      </c>
      <c r="L86" s="9" t="s">
        <v>3353</v>
      </c>
    </row>
    <row r="87" spans="1:12">
      <c r="A87" s="10" t="s">
        <v>2769</v>
      </c>
      <c r="B87" s="11" t="s">
        <v>1739</v>
      </c>
      <c r="C87" s="11" t="s">
        <v>1739</v>
      </c>
      <c r="D87" s="11" t="s">
        <v>3543</v>
      </c>
      <c r="E87" s="11" t="s">
        <v>1497</v>
      </c>
      <c r="F87" s="11" t="s">
        <v>448</v>
      </c>
      <c r="G87" s="11" t="s">
        <v>3544</v>
      </c>
      <c r="H87" s="11" t="s">
        <v>101</v>
      </c>
      <c r="I87" s="11" t="s">
        <v>3465</v>
      </c>
      <c r="J87" s="11" t="s">
        <v>3359</v>
      </c>
      <c r="K87" s="11" t="s">
        <v>111</v>
      </c>
      <c r="L87" s="12" t="s">
        <v>3353</v>
      </c>
    </row>
    <row r="88" spans="1:12">
      <c r="A88" s="7" t="s">
        <v>750</v>
      </c>
      <c r="B88" s="8" t="s">
        <v>744</v>
      </c>
      <c r="C88" s="8" t="s">
        <v>744</v>
      </c>
      <c r="D88" s="8" t="s">
        <v>3545</v>
      </c>
      <c r="E88" s="8" t="s">
        <v>3495</v>
      </c>
      <c r="F88" s="8" t="s">
        <v>751</v>
      </c>
      <c r="G88" s="8" t="s">
        <v>3503</v>
      </c>
      <c r="H88" s="8" t="s">
        <v>135</v>
      </c>
      <c r="I88" s="8" t="s">
        <v>3465</v>
      </c>
      <c r="J88" s="8" t="s">
        <v>3359</v>
      </c>
      <c r="K88" s="8" t="s">
        <v>111</v>
      </c>
      <c r="L88" s="9" t="s">
        <v>3353</v>
      </c>
    </row>
    <row r="89" spans="1:12">
      <c r="A89" s="10" t="s">
        <v>758</v>
      </c>
      <c r="B89" s="11" t="s">
        <v>759</v>
      </c>
      <c r="C89" s="11" t="s">
        <v>759</v>
      </c>
      <c r="D89" s="11" t="s">
        <v>3546</v>
      </c>
      <c r="E89" s="11" t="s">
        <v>3495</v>
      </c>
      <c r="F89" s="11" t="s">
        <v>760</v>
      </c>
      <c r="G89" s="11" t="s">
        <v>3503</v>
      </c>
      <c r="H89" s="11" t="s">
        <v>135</v>
      </c>
      <c r="I89" s="11" t="s">
        <v>3465</v>
      </c>
      <c r="J89" s="11" t="s">
        <v>3359</v>
      </c>
      <c r="K89" s="11" t="s">
        <v>111</v>
      </c>
      <c r="L89" s="12" t="s">
        <v>3353</v>
      </c>
    </row>
    <row r="90" spans="1:12">
      <c r="A90" s="7" t="s">
        <v>767</v>
      </c>
      <c r="B90" s="8" t="s">
        <v>768</v>
      </c>
      <c r="C90" s="8" t="s">
        <v>768</v>
      </c>
      <c r="D90" s="8" t="s">
        <v>3547</v>
      </c>
      <c r="E90" s="8" t="s">
        <v>3495</v>
      </c>
      <c r="F90" s="8" t="s">
        <v>769</v>
      </c>
      <c r="G90" s="8" t="s">
        <v>3503</v>
      </c>
      <c r="H90" s="8" t="s">
        <v>135</v>
      </c>
      <c r="I90" s="8" t="s">
        <v>3465</v>
      </c>
      <c r="J90" s="8" t="s">
        <v>3359</v>
      </c>
      <c r="K90" s="8" t="s">
        <v>111</v>
      </c>
      <c r="L90" s="9" t="s">
        <v>3353</v>
      </c>
    </row>
    <row r="91" spans="1:12">
      <c r="A91" s="10" t="s">
        <v>3548</v>
      </c>
      <c r="B91" s="11" t="s">
        <v>452</v>
      </c>
      <c r="C91" s="11" t="s">
        <v>452</v>
      </c>
      <c r="D91" s="11" t="s">
        <v>3549</v>
      </c>
      <c r="E91" s="11" t="s">
        <v>3495</v>
      </c>
      <c r="F91" s="11" t="s">
        <v>3550</v>
      </c>
      <c r="G91" s="11" t="s">
        <v>3503</v>
      </c>
      <c r="H91" s="11" t="s">
        <v>100</v>
      </c>
      <c r="I91" s="11" t="s">
        <v>3465</v>
      </c>
      <c r="J91" s="11" t="s">
        <v>3359</v>
      </c>
      <c r="K91" s="11" t="s">
        <v>111</v>
      </c>
      <c r="L91" s="12" t="s">
        <v>3353</v>
      </c>
    </row>
    <row r="92" ht="28" spans="1:12">
      <c r="A92" s="7" t="s">
        <v>576</v>
      </c>
      <c r="B92" s="8" t="s">
        <v>568</v>
      </c>
      <c r="C92" s="8" t="s">
        <v>568</v>
      </c>
      <c r="D92" s="8" t="s">
        <v>3410</v>
      </c>
      <c r="E92" s="8" t="s">
        <v>3414</v>
      </c>
      <c r="F92" s="8" t="s">
        <v>577</v>
      </c>
      <c r="G92" s="8" t="s">
        <v>3551</v>
      </c>
      <c r="H92" s="8" t="s">
        <v>100</v>
      </c>
      <c r="I92" s="8" t="s">
        <v>3465</v>
      </c>
      <c r="J92" s="8" t="s">
        <v>3352</v>
      </c>
      <c r="K92" s="8" t="s">
        <v>111</v>
      </c>
      <c r="L92" s="9" t="s">
        <v>3353</v>
      </c>
    </row>
    <row r="93" spans="1:12">
      <c r="A93" s="10" t="s">
        <v>1429</v>
      </c>
      <c r="B93" s="11" t="s">
        <v>413</v>
      </c>
      <c r="C93" s="11" t="s">
        <v>413</v>
      </c>
      <c r="D93" s="11" t="s">
        <v>3552</v>
      </c>
      <c r="E93" s="11" t="s">
        <v>3553</v>
      </c>
      <c r="F93" s="11" t="s">
        <v>1430</v>
      </c>
      <c r="G93" s="11" t="s">
        <v>3551</v>
      </c>
      <c r="H93" s="11" t="s">
        <v>101</v>
      </c>
      <c r="I93" s="11" t="s">
        <v>3465</v>
      </c>
      <c r="J93" s="11" t="s">
        <v>3352</v>
      </c>
      <c r="K93" s="11" t="s">
        <v>111</v>
      </c>
      <c r="L93" s="12" t="s">
        <v>3353</v>
      </c>
    </row>
    <row r="94" ht="28" spans="1:12">
      <c r="A94" s="7" t="s">
        <v>3554</v>
      </c>
      <c r="B94" s="8" t="s">
        <v>637</v>
      </c>
      <c r="C94" s="8" t="s">
        <v>637</v>
      </c>
      <c r="D94" s="8" t="s">
        <v>3555</v>
      </c>
      <c r="E94" s="8" t="s">
        <v>3556</v>
      </c>
      <c r="F94" s="8" t="s">
        <v>3557</v>
      </c>
      <c r="G94" s="8" t="s">
        <v>3551</v>
      </c>
      <c r="H94" s="8" t="s">
        <v>101</v>
      </c>
      <c r="I94" s="8" t="s">
        <v>3465</v>
      </c>
      <c r="J94" s="8" t="s">
        <v>3352</v>
      </c>
      <c r="K94" s="8" t="s">
        <v>111</v>
      </c>
      <c r="L94" s="9" t="s">
        <v>3353</v>
      </c>
    </row>
    <row r="95" spans="1:12">
      <c r="A95" s="10" t="s">
        <v>3558</v>
      </c>
      <c r="B95" s="11" t="s">
        <v>463</v>
      </c>
      <c r="C95" s="11" t="s">
        <v>463</v>
      </c>
      <c r="D95" s="11" t="s">
        <v>3559</v>
      </c>
      <c r="E95" s="11" t="s">
        <v>3560</v>
      </c>
      <c r="F95" s="11" t="s">
        <v>3561</v>
      </c>
      <c r="G95" s="11" t="s">
        <v>3551</v>
      </c>
      <c r="H95" s="11" t="s">
        <v>101</v>
      </c>
      <c r="I95" s="11" t="s">
        <v>3465</v>
      </c>
      <c r="J95" s="11" t="s">
        <v>3352</v>
      </c>
      <c r="K95" s="11" t="s">
        <v>111</v>
      </c>
      <c r="L95" s="12" t="s">
        <v>3353</v>
      </c>
    </row>
    <row r="96" ht="28" spans="1:12">
      <c r="A96" s="7" t="s">
        <v>1560</v>
      </c>
      <c r="B96" s="8" t="s">
        <v>1555</v>
      </c>
      <c r="C96" s="8" t="s">
        <v>1555</v>
      </c>
      <c r="D96" s="8" t="s">
        <v>1556</v>
      </c>
      <c r="E96" s="8" t="s">
        <v>3562</v>
      </c>
      <c r="F96" s="8" t="s">
        <v>1561</v>
      </c>
      <c r="G96" s="8" t="s">
        <v>3350</v>
      </c>
      <c r="H96" s="8" t="s">
        <v>101</v>
      </c>
      <c r="I96" s="8" t="s">
        <v>3465</v>
      </c>
      <c r="J96" s="8" t="s">
        <v>3352</v>
      </c>
      <c r="K96" s="8" t="s">
        <v>111</v>
      </c>
      <c r="L96" s="9" t="s">
        <v>3353</v>
      </c>
    </row>
    <row r="97" ht="28" spans="1:12">
      <c r="A97" s="10" t="s">
        <v>1568</v>
      </c>
      <c r="B97" s="11" t="s">
        <v>1563</v>
      </c>
      <c r="C97" s="11" t="s">
        <v>1563</v>
      </c>
      <c r="D97" s="11" t="s">
        <v>1564</v>
      </c>
      <c r="E97" s="11" t="s">
        <v>3563</v>
      </c>
      <c r="F97" s="11" t="s">
        <v>1569</v>
      </c>
      <c r="G97" s="11" t="s">
        <v>3350</v>
      </c>
      <c r="H97" s="11" t="s">
        <v>101</v>
      </c>
      <c r="I97" s="11" t="s">
        <v>3465</v>
      </c>
      <c r="J97" s="11" t="s">
        <v>3352</v>
      </c>
      <c r="K97" s="11" t="s">
        <v>111</v>
      </c>
      <c r="L97" s="12" t="s">
        <v>3353</v>
      </c>
    </row>
    <row r="98" ht="28" spans="1:12">
      <c r="A98" s="7" t="s">
        <v>1576</v>
      </c>
      <c r="B98" s="8" t="s">
        <v>1571</v>
      </c>
      <c r="C98" s="8" t="s">
        <v>1571</v>
      </c>
      <c r="D98" s="8" t="s">
        <v>1572</v>
      </c>
      <c r="E98" s="8" t="s">
        <v>1450</v>
      </c>
      <c r="F98" s="8" t="s">
        <v>1577</v>
      </c>
      <c r="G98" s="8" t="s">
        <v>3350</v>
      </c>
      <c r="H98" s="8" t="s">
        <v>101</v>
      </c>
      <c r="I98" s="8" t="s">
        <v>3465</v>
      </c>
      <c r="J98" s="8" t="s">
        <v>3352</v>
      </c>
      <c r="K98" s="8" t="s">
        <v>111</v>
      </c>
      <c r="L98" s="9" t="s">
        <v>3353</v>
      </c>
    </row>
    <row r="99" spans="1:12">
      <c r="A99" s="10" t="s">
        <v>1588</v>
      </c>
      <c r="B99" s="11" t="s">
        <v>1583</v>
      </c>
      <c r="C99" s="11" t="s">
        <v>1583</v>
      </c>
      <c r="D99" s="11" t="s">
        <v>1584</v>
      </c>
      <c r="E99" s="11" t="s">
        <v>3564</v>
      </c>
      <c r="F99" s="11" t="s">
        <v>1589</v>
      </c>
      <c r="G99" s="11" t="s">
        <v>3350</v>
      </c>
      <c r="H99" s="11" t="s">
        <v>101</v>
      </c>
      <c r="I99" s="11" t="s">
        <v>3465</v>
      </c>
      <c r="J99" s="11" t="s">
        <v>3352</v>
      </c>
      <c r="K99" s="11" t="s">
        <v>111</v>
      </c>
      <c r="L99" s="12" t="s">
        <v>3353</v>
      </c>
    </row>
    <row r="100" ht="28" spans="1:12">
      <c r="A100" s="7" t="s">
        <v>1595</v>
      </c>
      <c r="B100" s="8" t="s">
        <v>1563</v>
      </c>
      <c r="C100" s="8" t="s">
        <v>1563</v>
      </c>
      <c r="D100" s="8" t="s">
        <v>1591</v>
      </c>
      <c r="E100" s="8" t="s">
        <v>3565</v>
      </c>
      <c r="F100" s="8" t="s">
        <v>1596</v>
      </c>
      <c r="G100" s="8" t="s">
        <v>1668</v>
      </c>
      <c r="H100" s="8" t="s">
        <v>101</v>
      </c>
      <c r="I100" s="8" t="s">
        <v>3465</v>
      </c>
      <c r="J100" s="8" t="s">
        <v>3352</v>
      </c>
      <c r="K100" s="8" t="s">
        <v>111</v>
      </c>
      <c r="L100" s="9" t="s">
        <v>3353</v>
      </c>
    </row>
    <row r="101" ht="28" spans="1:12">
      <c r="A101" s="10" t="s">
        <v>1602</v>
      </c>
      <c r="B101" s="11" t="s">
        <v>1603</v>
      </c>
      <c r="C101" s="11" t="s">
        <v>1603</v>
      </c>
      <c r="D101" s="11" t="s">
        <v>1606</v>
      </c>
      <c r="E101" s="11" t="s">
        <v>1460</v>
      </c>
      <c r="F101" s="11" t="s">
        <v>1604</v>
      </c>
      <c r="G101" s="11" t="s">
        <v>1668</v>
      </c>
      <c r="H101" s="11" t="s">
        <v>101</v>
      </c>
      <c r="I101" s="11" t="s">
        <v>3465</v>
      </c>
      <c r="J101" s="11" t="s">
        <v>3352</v>
      </c>
      <c r="K101" s="11" t="s">
        <v>111</v>
      </c>
      <c r="L101" s="12" t="s">
        <v>3353</v>
      </c>
    </row>
    <row r="102" spans="1:12">
      <c r="A102" s="7" t="s">
        <v>1636</v>
      </c>
      <c r="B102" s="8" t="s">
        <v>1637</v>
      </c>
      <c r="C102" s="8" t="s">
        <v>1637</v>
      </c>
      <c r="D102" s="8" t="s">
        <v>3566</v>
      </c>
      <c r="E102" s="8" t="s">
        <v>848</v>
      </c>
      <c r="F102" s="8" t="s">
        <v>1638</v>
      </c>
      <c r="G102" s="8" t="s">
        <v>3567</v>
      </c>
      <c r="H102" s="8" t="s">
        <v>101</v>
      </c>
      <c r="I102" s="8" t="s">
        <v>3465</v>
      </c>
      <c r="J102" s="8" t="s">
        <v>3352</v>
      </c>
      <c r="K102" s="8" t="s">
        <v>111</v>
      </c>
      <c r="L102" s="9" t="s">
        <v>3353</v>
      </c>
    </row>
    <row r="103" spans="1:12">
      <c r="A103" s="10" t="s">
        <v>1646</v>
      </c>
      <c r="B103" s="11" t="s">
        <v>1641</v>
      </c>
      <c r="C103" s="11" t="s">
        <v>1641</v>
      </c>
      <c r="D103" s="11" t="s">
        <v>3568</v>
      </c>
      <c r="E103" s="11" t="s">
        <v>3495</v>
      </c>
      <c r="F103" s="11" t="s">
        <v>1647</v>
      </c>
      <c r="G103" s="11" t="s">
        <v>3569</v>
      </c>
      <c r="H103" s="11" t="s">
        <v>135</v>
      </c>
      <c r="I103" s="11" t="s">
        <v>3465</v>
      </c>
      <c r="J103" s="11" t="s">
        <v>3352</v>
      </c>
      <c r="K103" s="11" t="s">
        <v>111</v>
      </c>
      <c r="L103" s="12" t="s">
        <v>3353</v>
      </c>
    </row>
    <row r="104" spans="1:12">
      <c r="A104" s="7" t="s">
        <v>1662</v>
      </c>
      <c r="B104" s="8" t="s">
        <v>1657</v>
      </c>
      <c r="C104" s="8" t="s">
        <v>1657</v>
      </c>
      <c r="D104" s="8" t="s">
        <v>3570</v>
      </c>
      <c r="E104" s="8" t="s">
        <v>3571</v>
      </c>
      <c r="F104" s="8" t="s">
        <v>1663</v>
      </c>
      <c r="G104" s="8" t="s">
        <v>3572</v>
      </c>
      <c r="H104" s="8" t="s">
        <v>100</v>
      </c>
      <c r="I104" s="8" t="s">
        <v>3351</v>
      </c>
      <c r="J104" s="8" t="s">
        <v>3352</v>
      </c>
      <c r="K104" s="8" t="s">
        <v>111</v>
      </c>
      <c r="L104" s="9" t="s">
        <v>3353</v>
      </c>
    </row>
    <row r="105" spans="1:12">
      <c r="A105" s="10" t="s">
        <v>1706</v>
      </c>
      <c r="B105" s="11" t="s">
        <v>983</v>
      </c>
      <c r="C105" s="11" t="s">
        <v>983</v>
      </c>
      <c r="D105" s="11" t="s">
        <v>3573</v>
      </c>
      <c r="E105" s="11" t="s">
        <v>3574</v>
      </c>
      <c r="F105" s="11" t="s">
        <v>1707</v>
      </c>
      <c r="G105" s="11" t="s">
        <v>3575</v>
      </c>
      <c r="H105" s="11" t="s">
        <v>101</v>
      </c>
      <c r="I105" s="11" t="s">
        <v>3351</v>
      </c>
      <c r="J105" s="11" t="s">
        <v>3352</v>
      </c>
      <c r="K105" s="11" t="s">
        <v>111</v>
      </c>
      <c r="L105" s="12" t="s">
        <v>3353</v>
      </c>
    </row>
    <row r="106" spans="1:12">
      <c r="A106" s="7" t="s">
        <v>1744</v>
      </c>
      <c r="B106" s="8" t="s">
        <v>1739</v>
      </c>
      <c r="C106" s="8" t="s">
        <v>1739</v>
      </c>
      <c r="D106" s="8" t="s">
        <v>3576</v>
      </c>
      <c r="E106" s="8" t="s">
        <v>3577</v>
      </c>
      <c r="F106" s="8" t="s">
        <v>1745</v>
      </c>
      <c r="G106" s="8" t="s">
        <v>3578</v>
      </c>
      <c r="H106" s="8" t="s">
        <v>101</v>
      </c>
      <c r="I106" s="8" t="s">
        <v>3351</v>
      </c>
      <c r="J106" s="8" t="s">
        <v>3352</v>
      </c>
      <c r="K106" s="8" t="s">
        <v>111</v>
      </c>
      <c r="L106" s="9" t="s">
        <v>3353</v>
      </c>
    </row>
    <row r="107" spans="1:12">
      <c r="A107" s="10" t="s">
        <v>1759</v>
      </c>
      <c r="B107" s="11" t="s">
        <v>996</v>
      </c>
      <c r="C107" s="11" t="s">
        <v>996</v>
      </c>
      <c r="D107" s="11" t="s">
        <v>3579</v>
      </c>
      <c r="E107" s="11" t="s">
        <v>1460</v>
      </c>
      <c r="F107" s="11" t="s">
        <v>1760</v>
      </c>
      <c r="G107" s="11" t="s">
        <v>3580</v>
      </c>
      <c r="H107" s="11" t="s">
        <v>101</v>
      </c>
      <c r="I107" s="11" t="s">
        <v>3351</v>
      </c>
      <c r="J107" s="11" t="s">
        <v>3352</v>
      </c>
      <c r="K107" s="11" t="s">
        <v>111</v>
      </c>
      <c r="L107" s="12" t="s">
        <v>3353</v>
      </c>
    </row>
    <row r="108" spans="1:12">
      <c r="A108" s="7" t="s">
        <v>1766</v>
      </c>
      <c r="B108" s="8" t="s">
        <v>108</v>
      </c>
      <c r="C108" s="8" t="s">
        <v>108</v>
      </c>
      <c r="D108" s="8" t="s">
        <v>3581</v>
      </c>
      <c r="E108" s="8" t="s">
        <v>905</v>
      </c>
      <c r="F108" s="8" t="s">
        <v>1767</v>
      </c>
      <c r="G108" s="8" t="s">
        <v>3484</v>
      </c>
      <c r="H108" s="8" t="s">
        <v>101</v>
      </c>
      <c r="I108" s="8" t="s">
        <v>3351</v>
      </c>
      <c r="J108" s="8" t="s">
        <v>3352</v>
      </c>
      <c r="K108" s="8" t="s">
        <v>111</v>
      </c>
      <c r="L108" s="9" t="s">
        <v>3353</v>
      </c>
    </row>
    <row r="109" ht="28" spans="1:12">
      <c r="A109" s="10" t="s">
        <v>1773</v>
      </c>
      <c r="B109" s="11" t="s">
        <v>108</v>
      </c>
      <c r="C109" s="11" t="s">
        <v>108</v>
      </c>
      <c r="D109" s="11" t="s">
        <v>3582</v>
      </c>
      <c r="E109" s="11" t="s">
        <v>848</v>
      </c>
      <c r="F109" s="11" t="s">
        <v>1774</v>
      </c>
      <c r="G109" s="11" t="s">
        <v>3583</v>
      </c>
      <c r="H109" s="11" t="s">
        <v>101</v>
      </c>
      <c r="I109" s="11" t="s">
        <v>3351</v>
      </c>
      <c r="J109" s="11" t="s">
        <v>3352</v>
      </c>
      <c r="K109" s="11" t="s">
        <v>111</v>
      </c>
      <c r="L109" s="12" t="s">
        <v>3353</v>
      </c>
    </row>
    <row r="110" spans="1:12">
      <c r="A110" s="7" t="s">
        <v>3137</v>
      </c>
      <c r="B110" s="8" t="s">
        <v>3138</v>
      </c>
      <c r="C110" s="8" t="s">
        <v>3138</v>
      </c>
      <c r="D110" s="8" t="s">
        <v>3584</v>
      </c>
      <c r="E110" s="8" t="s">
        <v>848</v>
      </c>
      <c r="F110" s="8" t="s">
        <v>3139</v>
      </c>
      <c r="G110" s="8" t="s">
        <v>3585</v>
      </c>
      <c r="H110" s="8" t="s">
        <v>101</v>
      </c>
      <c r="I110" s="8" t="s">
        <v>3351</v>
      </c>
      <c r="J110" s="8" t="s">
        <v>3359</v>
      </c>
      <c r="K110" s="8" t="s">
        <v>111</v>
      </c>
      <c r="L110" s="9" t="s">
        <v>3353</v>
      </c>
    </row>
    <row r="111" spans="1:12">
      <c r="A111" s="10" t="s">
        <v>1552</v>
      </c>
      <c r="B111" s="11" t="s">
        <v>1545</v>
      </c>
      <c r="C111" s="11" t="s">
        <v>1545</v>
      </c>
      <c r="D111" s="11" t="s">
        <v>1546</v>
      </c>
      <c r="E111" s="11" t="s">
        <v>3586</v>
      </c>
      <c r="F111" s="11" t="s">
        <v>1553</v>
      </c>
      <c r="G111" s="11" t="s">
        <v>3587</v>
      </c>
      <c r="H111" s="11" t="s">
        <v>101</v>
      </c>
      <c r="I111" s="11" t="s">
        <v>3351</v>
      </c>
      <c r="J111" s="11" t="s">
        <v>3352</v>
      </c>
      <c r="K111" s="11" t="s">
        <v>111</v>
      </c>
      <c r="L111" s="12" t="s">
        <v>3353</v>
      </c>
    </row>
    <row r="112" ht="28" spans="1:12">
      <c r="A112" s="7" t="s">
        <v>1670</v>
      </c>
      <c r="B112" s="8" t="s">
        <v>1603</v>
      </c>
      <c r="C112" s="8" t="s">
        <v>1603</v>
      </c>
      <c r="D112" s="8" t="s">
        <v>1666</v>
      </c>
      <c r="E112" s="8" t="s">
        <v>3588</v>
      </c>
      <c r="F112" s="8" t="s">
        <v>1671</v>
      </c>
      <c r="G112" s="8" t="s">
        <v>1668</v>
      </c>
      <c r="H112" s="8" t="s">
        <v>101</v>
      </c>
      <c r="I112" s="8" t="s">
        <v>3351</v>
      </c>
      <c r="J112" s="8" t="s">
        <v>3352</v>
      </c>
      <c r="K112" s="8" t="s">
        <v>111</v>
      </c>
      <c r="L112" s="9" t="s">
        <v>3353</v>
      </c>
    </row>
    <row r="113" ht="28" spans="1:12">
      <c r="A113" s="10" t="s">
        <v>1676</v>
      </c>
      <c r="B113" s="11" t="s">
        <v>1603</v>
      </c>
      <c r="C113" s="11" t="s">
        <v>1603</v>
      </c>
      <c r="D113" s="11" t="s">
        <v>1673</v>
      </c>
      <c r="E113" s="11" t="s">
        <v>3589</v>
      </c>
      <c r="F113" s="11" t="s">
        <v>1677</v>
      </c>
      <c r="G113" s="11" t="s">
        <v>1668</v>
      </c>
      <c r="H113" s="11" t="s">
        <v>101</v>
      </c>
      <c r="I113" s="11" t="s">
        <v>3351</v>
      </c>
      <c r="J113" s="11" t="s">
        <v>3352</v>
      </c>
      <c r="K113" s="11" t="s">
        <v>111</v>
      </c>
      <c r="L113" s="12" t="s">
        <v>3353</v>
      </c>
    </row>
    <row r="114" spans="1:12">
      <c r="A114" s="7" t="s">
        <v>2730</v>
      </c>
      <c r="B114" s="8" t="s">
        <v>2731</v>
      </c>
      <c r="C114" s="8" t="s">
        <v>2731</v>
      </c>
      <c r="D114" s="8" t="s">
        <v>3590</v>
      </c>
      <c r="E114" s="8" t="s">
        <v>3591</v>
      </c>
      <c r="F114" s="8" t="s">
        <v>2732</v>
      </c>
      <c r="G114" s="8" t="s">
        <v>3592</v>
      </c>
      <c r="H114" s="8" t="s">
        <v>101</v>
      </c>
      <c r="I114" s="8" t="s">
        <v>3351</v>
      </c>
      <c r="J114" s="8" t="s">
        <v>3352</v>
      </c>
      <c r="K114" s="8" t="s">
        <v>111</v>
      </c>
      <c r="L114" s="9" t="s">
        <v>3353</v>
      </c>
    </row>
    <row r="115" spans="1:12">
      <c r="A115" s="10" t="s">
        <v>2744</v>
      </c>
      <c r="B115" s="11" t="s">
        <v>909</v>
      </c>
      <c r="C115" s="11" t="s">
        <v>909</v>
      </c>
      <c r="D115" s="11" t="s">
        <v>3593</v>
      </c>
      <c r="E115" s="11" t="s">
        <v>3594</v>
      </c>
      <c r="F115" s="11" t="s">
        <v>2745</v>
      </c>
      <c r="G115" s="11" t="s">
        <v>3595</v>
      </c>
      <c r="H115" s="11" t="s">
        <v>101</v>
      </c>
      <c r="I115" s="11" t="s">
        <v>3351</v>
      </c>
      <c r="J115" s="11" t="s">
        <v>3352</v>
      </c>
      <c r="K115" s="11" t="s">
        <v>111</v>
      </c>
      <c r="L115" s="12" t="s">
        <v>3353</v>
      </c>
    </row>
    <row r="116" spans="1:12">
      <c r="A116" s="16" t="s">
        <v>2756</v>
      </c>
      <c r="B116" s="17" t="s">
        <v>2757</v>
      </c>
      <c r="C116" s="17" t="s">
        <v>2757</v>
      </c>
      <c r="D116" s="17" t="s">
        <v>3596</v>
      </c>
      <c r="E116" s="17" t="s">
        <v>905</v>
      </c>
      <c r="F116" s="17" t="s">
        <v>2758</v>
      </c>
      <c r="G116" s="17" t="s">
        <v>3597</v>
      </c>
      <c r="H116" s="17" t="s">
        <v>101</v>
      </c>
      <c r="I116" s="17" t="s">
        <v>3351</v>
      </c>
      <c r="J116" s="17" t="s">
        <v>3352</v>
      </c>
      <c r="K116" s="17" t="s">
        <v>111</v>
      </c>
      <c r="L116" s="18" t="s">
        <v>3353</v>
      </c>
    </row>
    <row r="117" spans="1:12">
      <c r="A117" s="10" t="s">
        <v>3598</v>
      </c>
      <c r="B117" s="11" t="s">
        <v>1792</v>
      </c>
      <c r="C117" s="11" t="s">
        <v>1792</v>
      </c>
      <c r="D117" s="11" t="s">
        <v>3599</v>
      </c>
      <c r="E117" s="19">
        <v>46216</v>
      </c>
      <c r="F117" s="11" t="s">
        <v>1798</v>
      </c>
      <c r="G117" s="11" t="s">
        <v>3350</v>
      </c>
      <c r="H117" s="11" t="s">
        <v>101</v>
      </c>
      <c r="I117" s="11" t="s">
        <v>3465</v>
      </c>
      <c r="J117" s="11" t="s">
        <v>3352</v>
      </c>
      <c r="K117" s="19">
        <v>46232</v>
      </c>
      <c r="L117" s="12" t="s">
        <v>3353</v>
      </c>
    </row>
  </sheetData>
  <mergeCells count="2">
    <mergeCell ref="A1:L1"/>
    <mergeCell ref="A2:L2"/>
  </mergeCell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showGridLines="0" tabSelected="1" workbookViewId="0">
      <selection activeCell="D19" sqref="D19"/>
    </sheetView>
  </sheetViews>
  <sheetFormatPr defaultColWidth="9" defaultRowHeight="16.8" outlineLevelCol="6"/>
  <cols>
    <col min="1" max="1" width="13" customWidth="1"/>
    <col min="2" max="2" width="22" customWidth="1"/>
    <col min="3" max="3" width="14" customWidth="1"/>
    <col min="4" max="4" width="64" customWidth="1"/>
    <col min="5" max="5" width="18" customWidth="1"/>
    <col min="6" max="6" width="20" customWidth="1"/>
    <col min="7" max="7" width="12" customWidth="1"/>
  </cols>
  <sheetData>
    <row r="1" ht="32" customHeight="1" spans="1:7">
      <c r="A1" s="1" t="s">
        <v>3600</v>
      </c>
      <c r="B1" s="1"/>
      <c r="C1" s="1"/>
      <c r="D1" s="1"/>
      <c r="E1" s="1"/>
      <c r="F1" s="1"/>
      <c r="G1" s="1"/>
    </row>
    <row r="2" ht="34" customHeight="1" spans="1:7">
      <c r="A2" s="2" t="s">
        <v>3601</v>
      </c>
      <c r="B2" s="2"/>
      <c r="C2" s="2"/>
      <c r="D2" s="2"/>
      <c r="E2" s="2"/>
      <c r="F2" s="2"/>
      <c r="G2" s="2"/>
    </row>
    <row r="4" ht="32" customHeight="1" spans="1:7">
      <c r="A4" s="3" t="s">
        <v>3602</v>
      </c>
      <c r="B4" s="3" t="s">
        <v>7</v>
      </c>
      <c r="C4" s="3" t="s">
        <v>88</v>
      </c>
      <c r="D4" s="3" t="s">
        <v>3603</v>
      </c>
      <c r="E4" s="3" t="s">
        <v>3604</v>
      </c>
      <c r="F4" s="3" t="s">
        <v>3605</v>
      </c>
      <c r="G4" s="3" t="s">
        <v>3606</v>
      </c>
    </row>
    <row r="5" spans="1:7">
      <c r="A5" s="4" t="s">
        <v>111</v>
      </c>
      <c r="B5" s="5" t="s">
        <v>3607</v>
      </c>
      <c r="C5" s="5" t="s">
        <v>3608</v>
      </c>
      <c r="D5" s="5" t="s">
        <v>3609</v>
      </c>
      <c r="E5" s="5" t="s">
        <v>3610</v>
      </c>
      <c r="F5" s="5" t="s">
        <v>3611</v>
      </c>
      <c r="G5" s="6" t="s">
        <v>3612</v>
      </c>
    </row>
    <row r="6" spans="1:7">
      <c r="A6" s="7" t="s">
        <v>111</v>
      </c>
      <c r="B6" s="8" t="s">
        <v>14</v>
      </c>
      <c r="C6" s="8" t="s">
        <v>276</v>
      </c>
      <c r="D6" s="8" t="s">
        <v>3613</v>
      </c>
      <c r="E6" s="8">
        <v>18</v>
      </c>
      <c r="F6" s="8">
        <v>28</v>
      </c>
      <c r="G6" s="9" t="s">
        <v>3612</v>
      </c>
    </row>
    <row r="7" spans="1:7">
      <c r="A7" s="10" t="s">
        <v>111</v>
      </c>
      <c r="B7" s="11" t="s">
        <v>18</v>
      </c>
      <c r="C7" s="11" t="s">
        <v>276</v>
      </c>
      <c r="D7" s="11" t="s">
        <v>3614</v>
      </c>
      <c r="E7" s="11">
        <v>16</v>
      </c>
      <c r="F7" s="11">
        <v>45</v>
      </c>
      <c r="G7" s="12" t="s">
        <v>3612</v>
      </c>
    </row>
    <row r="8" spans="1:7">
      <c r="A8" s="7" t="s">
        <v>111</v>
      </c>
      <c r="B8" s="8" t="s">
        <v>49</v>
      </c>
      <c r="C8" s="8" t="s">
        <v>3615</v>
      </c>
      <c r="D8" s="8" t="s">
        <v>3616</v>
      </c>
      <c r="E8" s="8">
        <v>13</v>
      </c>
      <c r="F8" s="8">
        <v>37</v>
      </c>
      <c r="G8" s="9" t="s">
        <v>3612</v>
      </c>
    </row>
    <row r="9" spans="1:7">
      <c r="A9" s="10" t="s">
        <v>111</v>
      </c>
      <c r="B9" s="11" t="s">
        <v>24</v>
      </c>
      <c r="C9" s="11" t="s">
        <v>276</v>
      </c>
      <c r="D9" s="11" t="s">
        <v>3617</v>
      </c>
      <c r="E9" s="11">
        <v>15</v>
      </c>
      <c r="F9" s="11">
        <v>30</v>
      </c>
      <c r="G9" s="12" t="s">
        <v>3612</v>
      </c>
    </row>
    <row r="10" spans="1:7">
      <c r="A10" s="7" t="s">
        <v>111</v>
      </c>
      <c r="B10" s="8" t="s">
        <v>59</v>
      </c>
      <c r="C10" s="8" t="s">
        <v>276</v>
      </c>
      <c r="D10" s="8" t="s">
        <v>3618</v>
      </c>
      <c r="E10" s="8">
        <v>12</v>
      </c>
      <c r="F10" s="8">
        <v>22</v>
      </c>
      <c r="G10" s="9" t="s">
        <v>3612</v>
      </c>
    </row>
    <row r="11" spans="1:7">
      <c r="A11" s="10" t="s">
        <v>111</v>
      </c>
      <c r="B11" s="11" t="s">
        <v>62</v>
      </c>
      <c r="C11" s="11" t="s">
        <v>1550</v>
      </c>
      <c r="D11" s="11" t="s">
        <v>3619</v>
      </c>
      <c r="E11" s="11">
        <v>12</v>
      </c>
      <c r="F11" s="11">
        <v>46</v>
      </c>
      <c r="G11" s="12" t="s">
        <v>3612</v>
      </c>
    </row>
    <row r="12" spans="1:7">
      <c r="A12" s="7" t="s">
        <v>111</v>
      </c>
      <c r="B12" s="8" t="s">
        <v>3620</v>
      </c>
      <c r="C12" s="8" t="s">
        <v>3621</v>
      </c>
      <c r="D12" s="8" t="s">
        <v>3622</v>
      </c>
      <c r="E12" s="8">
        <v>16</v>
      </c>
      <c r="F12" s="8">
        <v>66</v>
      </c>
      <c r="G12" s="9" t="s">
        <v>3612</v>
      </c>
    </row>
    <row r="13" spans="1:7">
      <c r="A13" s="10" t="s">
        <v>111</v>
      </c>
      <c r="B13" s="11" t="s">
        <v>68</v>
      </c>
      <c r="C13" s="11" t="s">
        <v>3621</v>
      </c>
      <c r="D13" s="11" t="s">
        <v>3623</v>
      </c>
      <c r="E13" s="11">
        <v>14</v>
      </c>
      <c r="F13" s="11">
        <v>54</v>
      </c>
      <c r="G13" s="12" t="s">
        <v>3612</v>
      </c>
    </row>
    <row r="14" spans="1:7">
      <c r="A14" s="7" t="s">
        <v>111</v>
      </c>
      <c r="B14" s="8" t="s">
        <v>33</v>
      </c>
      <c r="C14" s="8" t="s">
        <v>276</v>
      </c>
      <c r="D14" s="8" t="s">
        <v>3624</v>
      </c>
      <c r="E14" s="8">
        <v>12</v>
      </c>
      <c r="F14" s="8">
        <v>24</v>
      </c>
      <c r="G14" s="9" t="s">
        <v>3612</v>
      </c>
    </row>
    <row r="15" spans="1:7">
      <c r="A15" s="10" t="s">
        <v>111</v>
      </c>
      <c r="B15" s="11" t="s">
        <v>71</v>
      </c>
      <c r="C15" s="11" t="s">
        <v>3625</v>
      </c>
      <c r="D15" s="11" t="s">
        <v>3626</v>
      </c>
      <c r="E15" s="11">
        <v>14</v>
      </c>
      <c r="F15" s="11">
        <v>26</v>
      </c>
      <c r="G15" s="12" t="s">
        <v>3612</v>
      </c>
    </row>
    <row r="16" spans="1:7">
      <c r="A16" s="16" t="s">
        <v>111</v>
      </c>
      <c r="B16" s="17" t="s">
        <v>74</v>
      </c>
      <c r="C16" s="17" t="s">
        <v>3627</v>
      </c>
      <c r="D16" s="17" t="s">
        <v>3628</v>
      </c>
      <c r="E16" s="17" t="s">
        <v>3629</v>
      </c>
      <c r="F16" s="17">
        <v>12</v>
      </c>
      <c r="G16" s="18" t="s">
        <v>3612</v>
      </c>
    </row>
  </sheetData>
  <mergeCells count="2">
    <mergeCell ref="A1:G1"/>
    <mergeCell ref="A2:G2"/>
  </mergeCells>
  <pageMargins left="0.7" right="0.7" top="0.75" bottom="0.75" header="0.3" footer="0.3"/>
  <headerFooter/>
  <tableParts count="1">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showGridLines="0" workbookViewId="0">
      <selection activeCell="A1" sqref="A1:H1"/>
    </sheetView>
  </sheetViews>
  <sheetFormatPr defaultColWidth="9" defaultRowHeight="16.8" outlineLevelCol="7"/>
  <cols>
    <col min="1" max="1" width="10" customWidth="1"/>
    <col min="2" max="2" width="18" customWidth="1"/>
    <col min="3" max="3" width="52" customWidth="1"/>
    <col min="4" max="4" width="11" customWidth="1"/>
    <col min="5" max="5" width="48" customWidth="1"/>
    <col min="6" max="6" width="24" customWidth="1"/>
    <col min="7" max="7" width="16" customWidth="1"/>
    <col min="8" max="8" width="18" customWidth="1"/>
  </cols>
  <sheetData>
    <row r="1" ht="32" customHeight="1" spans="1:8">
      <c r="A1" s="1" t="s">
        <v>3630</v>
      </c>
      <c r="B1" s="1"/>
      <c r="C1" s="1"/>
      <c r="D1" s="1"/>
      <c r="E1" s="1"/>
      <c r="F1" s="1"/>
      <c r="G1" s="1"/>
      <c r="H1" s="1"/>
    </row>
    <row r="2" ht="34" customHeight="1" spans="1:8">
      <c r="A2" s="2" t="s">
        <v>3631</v>
      </c>
      <c r="B2" s="2"/>
      <c r="C2" s="2"/>
      <c r="D2" s="2"/>
      <c r="E2" s="2"/>
      <c r="F2" s="2"/>
      <c r="G2" s="2"/>
      <c r="H2" s="2"/>
    </row>
    <row r="4" ht="32" customHeight="1" spans="1:8">
      <c r="A4" s="3" t="s">
        <v>3632</v>
      </c>
      <c r="B4" s="3" t="s">
        <v>7</v>
      </c>
      <c r="C4" s="3" t="s">
        <v>3633</v>
      </c>
      <c r="D4" s="3" t="s">
        <v>3634</v>
      </c>
      <c r="E4" s="3" t="s">
        <v>3635</v>
      </c>
      <c r="F4" s="3" t="s">
        <v>2798</v>
      </c>
      <c r="G4" s="3" t="s">
        <v>3636</v>
      </c>
      <c r="H4" s="3" t="s">
        <v>2374</v>
      </c>
    </row>
    <row r="5" spans="1:8">
      <c r="A5" s="4" t="s">
        <v>3637</v>
      </c>
      <c r="B5" s="5" t="s">
        <v>3620</v>
      </c>
      <c r="C5" s="5" t="s">
        <v>3638</v>
      </c>
      <c r="D5" s="5" t="s">
        <v>101</v>
      </c>
      <c r="E5" s="5" t="s">
        <v>3639</v>
      </c>
      <c r="F5" s="5" t="s">
        <v>2916</v>
      </c>
      <c r="G5" s="5" t="s">
        <v>2924</v>
      </c>
      <c r="H5" s="6" t="s">
        <v>2392</v>
      </c>
    </row>
    <row r="6" spans="1:8">
      <c r="A6" s="7" t="s">
        <v>3640</v>
      </c>
      <c r="B6" s="8" t="s">
        <v>18</v>
      </c>
      <c r="C6" s="8" t="s">
        <v>3641</v>
      </c>
      <c r="D6" s="8" t="s">
        <v>101</v>
      </c>
      <c r="E6" s="8" t="s">
        <v>3642</v>
      </c>
      <c r="F6" s="8" t="s">
        <v>2934</v>
      </c>
      <c r="G6" s="8" t="s">
        <v>2924</v>
      </c>
      <c r="H6" s="9" t="s">
        <v>1640</v>
      </c>
    </row>
    <row r="7" spans="1:8">
      <c r="A7" s="10" t="s">
        <v>3643</v>
      </c>
      <c r="B7" s="11" t="s">
        <v>18</v>
      </c>
      <c r="C7" s="11" t="s">
        <v>3644</v>
      </c>
      <c r="D7" s="11" t="s">
        <v>101</v>
      </c>
      <c r="E7" s="11" t="s">
        <v>3645</v>
      </c>
      <c r="F7" s="11" t="s">
        <v>3646</v>
      </c>
      <c r="G7" s="11" t="s">
        <v>2952</v>
      </c>
      <c r="H7" s="12" t="s">
        <v>1640</v>
      </c>
    </row>
    <row r="8" spans="1:8">
      <c r="A8" s="7" t="s">
        <v>3647</v>
      </c>
      <c r="B8" s="8" t="s">
        <v>3648</v>
      </c>
      <c r="C8" s="8" t="s">
        <v>3649</v>
      </c>
      <c r="D8" s="8" t="s">
        <v>101</v>
      </c>
      <c r="E8" s="8" t="s">
        <v>3650</v>
      </c>
      <c r="F8" s="8" t="s">
        <v>2908</v>
      </c>
      <c r="G8" s="8" t="s">
        <v>2917</v>
      </c>
      <c r="H8" s="9" t="s">
        <v>3651</v>
      </c>
    </row>
    <row r="9" spans="1:8">
      <c r="A9" s="10" t="s">
        <v>3652</v>
      </c>
      <c r="B9" s="11" t="s">
        <v>3653</v>
      </c>
      <c r="C9" s="11" t="s">
        <v>3654</v>
      </c>
      <c r="D9" s="11" t="s">
        <v>101</v>
      </c>
      <c r="E9" s="11" t="s">
        <v>3655</v>
      </c>
      <c r="F9" s="11" t="s">
        <v>3656</v>
      </c>
      <c r="G9" s="11" t="s">
        <v>3657</v>
      </c>
      <c r="H9" s="12" t="s">
        <v>2392</v>
      </c>
    </row>
    <row r="10" spans="1:8">
      <c r="A10" s="7" t="s">
        <v>3658</v>
      </c>
      <c r="B10" s="8" t="s">
        <v>3362</v>
      </c>
      <c r="C10" s="8" t="s">
        <v>3659</v>
      </c>
      <c r="D10" s="8" t="s">
        <v>101</v>
      </c>
      <c r="E10" s="8" t="s">
        <v>3660</v>
      </c>
      <c r="F10" s="8" t="s">
        <v>2986</v>
      </c>
      <c r="G10" s="8" t="s">
        <v>3657</v>
      </c>
      <c r="H10" s="9" t="s">
        <v>2392</v>
      </c>
    </row>
    <row r="11" spans="1:8">
      <c r="A11" s="10" t="s">
        <v>3661</v>
      </c>
      <c r="B11" s="11" t="s">
        <v>3362</v>
      </c>
      <c r="C11" s="11" t="s">
        <v>3662</v>
      </c>
      <c r="D11" s="11" t="s">
        <v>101</v>
      </c>
      <c r="E11" s="11" t="s">
        <v>3663</v>
      </c>
      <c r="F11" s="11" t="s">
        <v>3033</v>
      </c>
      <c r="G11" s="11" t="s">
        <v>3657</v>
      </c>
      <c r="H11" s="12" t="s">
        <v>2392</v>
      </c>
    </row>
    <row r="12" spans="1:8">
      <c r="A12" s="7" t="s">
        <v>3664</v>
      </c>
      <c r="B12" s="8" t="s">
        <v>31</v>
      </c>
      <c r="C12" s="8" t="s">
        <v>3665</v>
      </c>
      <c r="D12" s="8" t="s">
        <v>100</v>
      </c>
      <c r="E12" s="8" t="s">
        <v>3666</v>
      </c>
      <c r="F12" s="8" t="s">
        <v>3667</v>
      </c>
      <c r="G12" s="8" t="s">
        <v>3668</v>
      </c>
      <c r="H12" s="9" t="s">
        <v>1640</v>
      </c>
    </row>
    <row r="13" spans="1:8">
      <c r="A13" s="10" t="s">
        <v>3669</v>
      </c>
      <c r="B13" s="11" t="s">
        <v>30</v>
      </c>
      <c r="C13" s="11" t="s">
        <v>3670</v>
      </c>
      <c r="D13" s="11" t="s">
        <v>135</v>
      </c>
      <c r="E13" s="11" t="s">
        <v>3671</v>
      </c>
      <c r="F13" s="11" t="s">
        <v>3672</v>
      </c>
      <c r="G13" s="11" t="s">
        <v>3673</v>
      </c>
      <c r="H13" s="12" t="s">
        <v>1640</v>
      </c>
    </row>
    <row r="14" spans="1:8">
      <c r="A14" s="7" t="s">
        <v>3674</v>
      </c>
      <c r="B14" s="8" t="s">
        <v>3675</v>
      </c>
      <c r="C14" s="8" t="s">
        <v>3676</v>
      </c>
      <c r="D14" s="8" t="s">
        <v>101</v>
      </c>
      <c r="E14" s="8" t="s">
        <v>3677</v>
      </c>
      <c r="F14" s="8" t="s">
        <v>3678</v>
      </c>
      <c r="G14" s="8" t="s">
        <v>3679</v>
      </c>
      <c r="H14" s="9" t="s">
        <v>1640</v>
      </c>
    </row>
    <row r="15" spans="1:8">
      <c r="A15" s="10" t="s">
        <v>3680</v>
      </c>
      <c r="B15" s="11" t="s">
        <v>3681</v>
      </c>
      <c r="C15" s="11" t="s">
        <v>3682</v>
      </c>
      <c r="D15" s="11" t="s">
        <v>101</v>
      </c>
      <c r="E15" s="11" t="s">
        <v>3683</v>
      </c>
      <c r="F15" s="11" t="s">
        <v>3684</v>
      </c>
      <c r="G15" s="11" t="s">
        <v>2944</v>
      </c>
      <c r="H15" s="12" t="s">
        <v>1640</v>
      </c>
    </row>
    <row r="16" spans="1:8">
      <c r="A16" s="7" t="s">
        <v>3685</v>
      </c>
      <c r="B16" s="8" t="s">
        <v>3240</v>
      </c>
      <c r="C16" s="8" t="s">
        <v>3686</v>
      </c>
      <c r="D16" s="8" t="s">
        <v>101</v>
      </c>
      <c r="E16" s="8" t="s">
        <v>3687</v>
      </c>
      <c r="F16" s="8" t="s">
        <v>3688</v>
      </c>
      <c r="G16" s="8" t="s">
        <v>3689</v>
      </c>
      <c r="H16" s="9" t="s">
        <v>1640</v>
      </c>
    </row>
    <row r="17" spans="1:8">
      <c r="A17" s="10" t="s">
        <v>3690</v>
      </c>
      <c r="B17" s="11" t="s">
        <v>185</v>
      </c>
      <c r="C17" s="11" t="s">
        <v>3691</v>
      </c>
      <c r="D17" s="11" t="s">
        <v>101</v>
      </c>
      <c r="E17" s="11" t="s">
        <v>3692</v>
      </c>
      <c r="F17" s="11" t="s">
        <v>3693</v>
      </c>
      <c r="G17" s="11" t="s">
        <v>3689</v>
      </c>
      <c r="H17" s="12" t="s">
        <v>1640</v>
      </c>
    </row>
    <row r="18" spans="1:8">
      <c r="A18" s="7" t="s">
        <v>3694</v>
      </c>
      <c r="B18" s="8" t="s">
        <v>3695</v>
      </c>
      <c r="C18" s="8" t="s">
        <v>3696</v>
      </c>
      <c r="D18" s="8" t="s">
        <v>100</v>
      </c>
      <c r="E18" s="8" t="s">
        <v>3697</v>
      </c>
      <c r="F18" s="8" t="s">
        <v>2916</v>
      </c>
      <c r="G18" s="8" t="s">
        <v>2924</v>
      </c>
      <c r="H18" s="9" t="s">
        <v>1640</v>
      </c>
    </row>
    <row r="19" spans="1:8">
      <c r="A19" s="10" t="s">
        <v>3698</v>
      </c>
      <c r="B19" s="11" t="s">
        <v>3699</v>
      </c>
      <c r="C19" s="11" t="s">
        <v>3700</v>
      </c>
      <c r="D19" s="11" t="s">
        <v>100</v>
      </c>
      <c r="E19" s="11" t="s">
        <v>3701</v>
      </c>
      <c r="F19" s="11" t="s">
        <v>2916</v>
      </c>
      <c r="G19" s="11" t="s">
        <v>3702</v>
      </c>
      <c r="H19" s="12" t="s">
        <v>1640</v>
      </c>
    </row>
    <row r="20" spans="1:8">
      <c r="A20" s="7" t="s">
        <v>3703</v>
      </c>
      <c r="B20" s="8" t="s">
        <v>3704</v>
      </c>
      <c r="C20" s="8" t="s">
        <v>3705</v>
      </c>
      <c r="D20" s="8" t="s">
        <v>135</v>
      </c>
      <c r="E20" s="8" t="s">
        <v>3706</v>
      </c>
      <c r="F20" s="8" t="s">
        <v>3707</v>
      </c>
      <c r="G20" s="8" t="s">
        <v>3708</v>
      </c>
      <c r="H20" s="9" t="s">
        <v>1640</v>
      </c>
    </row>
    <row r="21" spans="1:8">
      <c r="A21" s="10" t="s">
        <v>3709</v>
      </c>
      <c r="B21" s="11" t="s">
        <v>2955</v>
      </c>
      <c r="C21" s="11" t="s">
        <v>3710</v>
      </c>
      <c r="D21" s="11" t="s">
        <v>101</v>
      </c>
      <c r="E21" s="11" t="s">
        <v>3711</v>
      </c>
      <c r="F21" s="11" t="s">
        <v>3712</v>
      </c>
      <c r="G21" s="11" t="s">
        <v>3713</v>
      </c>
      <c r="H21" s="12" t="s">
        <v>1640</v>
      </c>
    </row>
    <row r="22" spans="1:8">
      <c r="A22" s="7" t="s">
        <v>3714</v>
      </c>
      <c r="B22" s="8" t="s">
        <v>3567</v>
      </c>
      <c r="C22" s="8" t="s">
        <v>3715</v>
      </c>
      <c r="D22" s="8" t="s">
        <v>135</v>
      </c>
      <c r="E22" s="8" t="s">
        <v>3716</v>
      </c>
      <c r="F22" s="8" t="s">
        <v>3717</v>
      </c>
      <c r="G22" s="8" t="s">
        <v>3718</v>
      </c>
      <c r="H22" s="9" t="s">
        <v>1640</v>
      </c>
    </row>
    <row r="23" spans="1:8">
      <c r="A23" s="10" t="s">
        <v>3719</v>
      </c>
      <c r="B23" s="11" t="s">
        <v>1278</v>
      </c>
      <c r="C23" s="11" t="s">
        <v>3720</v>
      </c>
      <c r="D23" s="11" t="s">
        <v>101</v>
      </c>
      <c r="E23" s="11" t="s">
        <v>3721</v>
      </c>
      <c r="F23" s="11" t="s">
        <v>3722</v>
      </c>
      <c r="G23" s="11" t="s">
        <v>3723</v>
      </c>
      <c r="H23" s="12" t="s">
        <v>1640</v>
      </c>
    </row>
    <row r="24" spans="1:8">
      <c r="A24" s="16" t="s">
        <v>3724</v>
      </c>
      <c r="B24" s="17" t="s">
        <v>3725</v>
      </c>
      <c r="C24" s="17" t="s">
        <v>3726</v>
      </c>
      <c r="D24" s="17" t="s">
        <v>101</v>
      </c>
      <c r="E24" s="17" t="s">
        <v>3727</v>
      </c>
      <c r="F24" s="17" t="s">
        <v>3728</v>
      </c>
      <c r="G24" s="17" t="s">
        <v>2924</v>
      </c>
      <c r="H24" s="18" t="s">
        <v>1640</v>
      </c>
    </row>
  </sheetData>
  <mergeCells count="2">
    <mergeCell ref="A1:H1"/>
    <mergeCell ref="A2:H2"/>
  </mergeCells>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showGridLines="0" workbookViewId="0">
      <selection activeCell="A1" sqref="A1:J1"/>
    </sheetView>
  </sheetViews>
  <sheetFormatPr defaultColWidth="9" defaultRowHeight="16.8"/>
  <cols>
    <col min="1" max="1" width="9" customWidth="1"/>
    <col min="2" max="2" width="10" customWidth="1"/>
    <col min="3" max="3" width="20" customWidth="1"/>
    <col min="4" max="4" width="62" customWidth="1"/>
    <col min="5" max="5" width="28" customWidth="1"/>
    <col min="6" max="6" width="48" customWidth="1"/>
    <col min="7" max="7" width="16" customWidth="1"/>
    <col min="8" max="8" width="14" customWidth="1"/>
    <col min="9" max="9" width="12" customWidth="1"/>
    <col min="10" max="10" width="24" customWidth="1"/>
  </cols>
  <sheetData>
    <row r="1" ht="32" customHeight="1" spans="1:10">
      <c r="A1" s="1" t="s">
        <v>3729</v>
      </c>
      <c r="B1" s="1"/>
      <c r="C1" s="1"/>
      <c r="D1" s="1"/>
      <c r="E1" s="1"/>
      <c r="F1" s="1"/>
      <c r="G1" s="1"/>
      <c r="H1" s="1"/>
      <c r="I1" s="1"/>
      <c r="J1" s="1"/>
    </row>
    <row r="2" ht="34" customHeight="1" spans="1:10">
      <c r="A2" s="2" t="s">
        <v>3730</v>
      </c>
      <c r="B2" s="2"/>
      <c r="C2" s="2"/>
      <c r="D2" s="2"/>
      <c r="E2" s="2"/>
      <c r="F2" s="2"/>
      <c r="G2" s="2"/>
      <c r="H2" s="2"/>
      <c r="I2" s="2"/>
      <c r="J2" s="2"/>
    </row>
    <row r="4" ht="32" customHeight="1" spans="1:10">
      <c r="A4" s="3" t="s">
        <v>3731</v>
      </c>
      <c r="B4" s="3" t="s">
        <v>3732</v>
      </c>
      <c r="C4" s="3" t="s">
        <v>3733</v>
      </c>
      <c r="D4" s="3" t="s">
        <v>3734</v>
      </c>
      <c r="E4" s="3" t="s">
        <v>3735</v>
      </c>
      <c r="F4" s="3" t="s">
        <v>3736</v>
      </c>
      <c r="G4" s="3" t="s">
        <v>3737</v>
      </c>
      <c r="H4" s="3" t="s">
        <v>3738</v>
      </c>
      <c r="I4" s="3" t="s">
        <v>3739</v>
      </c>
      <c r="J4" s="3" t="s">
        <v>3740</v>
      </c>
    </row>
    <row r="5" spans="1:10">
      <c r="A5" s="4" t="s">
        <v>3741</v>
      </c>
      <c r="B5" s="5" t="s">
        <v>3742</v>
      </c>
      <c r="C5" s="5" t="s">
        <v>3743</v>
      </c>
      <c r="D5" s="5" t="s">
        <v>3744</v>
      </c>
      <c r="E5" s="5" t="s">
        <v>3745</v>
      </c>
      <c r="F5" s="5" t="s">
        <v>3746</v>
      </c>
      <c r="G5" s="5" t="s">
        <v>3747</v>
      </c>
      <c r="H5" s="5" t="s">
        <v>1080</v>
      </c>
      <c r="I5" s="5" t="s">
        <v>101</v>
      </c>
      <c r="J5" s="6" t="s">
        <v>3748</v>
      </c>
    </row>
    <row r="6" spans="1:10">
      <c r="A6" s="7" t="s">
        <v>3749</v>
      </c>
      <c r="B6" s="8" t="s">
        <v>3742</v>
      </c>
      <c r="C6" s="8" t="s">
        <v>3350</v>
      </c>
      <c r="D6" s="8" t="s">
        <v>3750</v>
      </c>
      <c r="E6" s="8" t="s">
        <v>3751</v>
      </c>
      <c r="F6" s="8" t="s">
        <v>3752</v>
      </c>
      <c r="G6" s="8" t="s">
        <v>3753</v>
      </c>
      <c r="H6" s="8" t="s">
        <v>135</v>
      </c>
      <c r="I6" s="8" t="s">
        <v>100</v>
      </c>
      <c r="J6" s="9" t="s">
        <v>3754</v>
      </c>
    </row>
    <row r="7" spans="1:10">
      <c r="A7" s="10" t="s">
        <v>3755</v>
      </c>
      <c r="B7" s="11" t="s">
        <v>3742</v>
      </c>
      <c r="C7" s="11" t="s">
        <v>3756</v>
      </c>
      <c r="D7" s="11" t="s">
        <v>3757</v>
      </c>
      <c r="E7" s="11" t="s">
        <v>3758</v>
      </c>
      <c r="F7" s="11" t="s">
        <v>3759</v>
      </c>
      <c r="G7" s="11" t="s">
        <v>3760</v>
      </c>
      <c r="H7" s="11" t="s">
        <v>135</v>
      </c>
      <c r="I7" s="11" t="s">
        <v>101</v>
      </c>
      <c r="J7" s="12" t="s">
        <v>3761</v>
      </c>
    </row>
    <row r="8" spans="1:10">
      <c r="A8" s="7" t="s">
        <v>3762</v>
      </c>
      <c r="B8" s="8" t="s">
        <v>3742</v>
      </c>
      <c r="C8" s="8" t="s">
        <v>3763</v>
      </c>
      <c r="D8" s="8" t="s">
        <v>3764</v>
      </c>
      <c r="E8" s="8" t="s">
        <v>3765</v>
      </c>
      <c r="F8" s="8" t="s">
        <v>3766</v>
      </c>
      <c r="G8" s="8" t="s">
        <v>3767</v>
      </c>
      <c r="H8" s="8" t="s">
        <v>135</v>
      </c>
      <c r="I8" s="8" t="s">
        <v>101</v>
      </c>
      <c r="J8" s="9" t="s">
        <v>3768</v>
      </c>
    </row>
    <row r="9" spans="1:10">
      <c r="A9" s="10" t="s">
        <v>3769</v>
      </c>
      <c r="B9" s="11" t="s">
        <v>3742</v>
      </c>
      <c r="C9" s="11" t="s">
        <v>3770</v>
      </c>
      <c r="D9" s="11" t="s">
        <v>3771</v>
      </c>
      <c r="E9" s="11" t="s">
        <v>3772</v>
      </c>
      <c r="F9" s="11" t="s">
        <v>3773</v>
      </c>
      <c r="G9" s="11" t="s">
        <v>3774</v>
      </c>
      <c r="H9" s="11" t="s">
        <v>1080</v>
      </c>
      <c r="I9" s="11" t="s">
        <v>101</v>
      </c>
      <c r="J9" s="12" t="s">
        <v>3775</v>
      </c>
    </row>
    <row r="10" spans="1:10">
      <c r="A10" s="7" t="s">
        <v>3776</v>
      </c>
      <c r="B10" s="8" t="s">
        <v>3742</v>
      </c>
      <c r="C10" s="8" t="s">
        <v>3777</v>
      </c>
      <c r="D10" s="8" t="s">
        <v>3778</v>
      </c>
      <c r="E10" s="8" t="s">
        <v>3779</v>
      </c>
      <c r="F10" s="8" t="s">
        <v>3780</v>
      </c>
      <c r="G10" s="8" t="s">
        <v>3774</v>
      </c>
      <c r="H10" s="8" t="s">
        <v>1080</v>
      </c>
      <c r="I10" s="8" t="s">
        <v>101</v>
      </c>
      <c r="J10" s="9" t="s">
        <v>3775</v>
      </c>
    </row>
    <row r="11" spans="1:10">
      <c r="A11" s="10" t="s">
        <v>3781</v>
      </c>
      <c r="B11" s="11" t="s">
        <v>3742</v>
      </c>
      <c r="C11" s="11" t="s">
        <v>3782</v>
      </c>
      <c r="D11" s="11" t="s">
        <v>3783</v>
      </c>
      <c r="E11" s="11" t="s">
        <v>3784</v>
      </c>
      <c r="F11" s="11" t="s">
        <v>3785</v>
      </c>
      <c r="G11" s="11" t="s">
        <v>3786</v>
      </c>
      <c r="H11" s="11" t="s">
        <v>135</v>
      </c>
      <c r="I11" s="11" t="s">
        <v>100</v>
      </c>
      <c r="J11" s="12" t="s">
        <v>3787</v>
      </c>
    </row>
    <row r="12" spans="1:10">
      <c r="A12" s="7" t="s">
        <v>3788</v>
      </c>
      <c r="B12" s="8" t="s">
        <v>3742</v>
      </c>
      <c r="C12" s="8" t="s">
        <v>3789</v>
      </c>
      <c r="D12" s="8" t="s">
        <v>3790</v>
      </c>
      <c r="E12" s="8" t="s">
        <v>3406</v>
      </c>
      <c r="F12" s="8" t="s">
        <v>3791</v>
      </c>
      <c r="G12" s="8" t="s">
        <v>3792</v>
      </c>
      <c r="H12" s="8" t="s">
        <v>135</v>
      </c>
      <c r="I12" s="8" t="s">
        <v>100</v>
      </c>
      <c r="J12" s="9" t="s">
        <v>3793</v>
      </c>
    </row>
    <row r="13" spans="1:10">
      <c r="A13" s="10" t="s">
        <v>3794</v>
      </c>
      <c r="B13" s="11" t="s">
        <v>3742</v>
      </c>
      <c r="C13" s="11" t="s">
        <v>3795</v>
      </c>
      <c r="D13" s="11" t="s">
        <v>3796</v>
      </c>
      <c r="E13" s="11" t="s">
        <v>3797</v>
      </c>
      <c r="F13" s="11" t="s">
        <v>3798</v>
      </c>
      <c r="G13" s="11" t="s">
        <v>3786</v>
      </c>
      <c r="H13" s="11" t="s">
        <v>135</v>
      </c>
      <c r="I13" s="11" t="s">
        <v>100</v>
      </c>
      <c r="J13" s="12" t="s">
        <v>3799</v>
      </c>
    </row>
    <row r="14" spans="1:10">
      <c r="A14" s="7" t="s">
        <v>3800</v>
      </c>
      <c r="B14" s="8" t="s">
        <v>3801</v>
      </c>
      <c r="C14" s="8" t="s">
        <v>71</v>
      </c>
      <c r="D14" s="8" t="s">
        <v>3802</v>
      </c>
      <c r="E14" s="8" t="s">
        <v>3803</v>
      </c>
      <c r="F14" s="8" t="s">
        <v>3804</v>
      </c>
      <c r="G14" s="8" t="s">
        <v>3805</v>
      </c>
      <c r="H14" s="8" t="s">
        <v>1080</v>
      </c>
      <c r="I14" s="8" t="s">
        <v>101</v>
      </c>
      <c r="J14" s="9" t="s">
        <v>3806</v>
      </c>
    </row>
    <row r="15" spans="1:10">
      <c r="A15" s="10" t="s">
        <v>3807</v>
      </c>
      <c r="B15" s="11" t="s">
        <v>3801</v>
      </c>
      <c r="C15" s="11" t="s">
        <v>3808</v>
      </c>
      <c r="D15" s="11" t="s">
        <v>3809</v>
      </c>
      <c r="E15" s="11" t="s">
        <v>3810</v>
      </c>
      <c r="F15" s="11" t="s">
        <v>3811</v>
      </c>
      <c r="G15" s="11" t="s">
        <v>3812</v>
      </c>
      <c r="H15" s="11" t="s">
        <v>101</v>
      </c>
      <c r="I15" s="11" t="s">
        <v>1080</v>
      </c>
      <c r="J15" s="12" t="s">
        <v>3813</v>
      </c>
    </row>
    <row r="16" spans="1:10">
      <c r="A16" s="7" t="s">
        <v>3814</v>
      </c>
      <c r="B16" s="8" t="s">
        <v>3801</v>
      </c>
      <c r="C16" s="8" t="s">
        <v>3551</v>
      </c>
      <c r="D16" s="8" t="s">
        <v>3815</v>
      </c>
      <c r="E16" s="8" t="s">
        <v>3816</v>
      </c>
      <c r="F16" s="8" t="s">
        <v>3817</v>
      </c>
      <c r="G16" s="8" t="s">
        <v>3818</v>
      </c>
      <c r="H16" s="8" t="s">
        <v>1080</v>
      </c>
      <c r="I16" s="8" t="s">
        <v>101</v>
      </c>
      <c r="J16" s="9" t="s">
        <v>3775</v>
      </c>
    </row>
    <row r="17" spans="1:10">
      <c r="A17" s="10" t="s">
        <v>3819</v>
      </c>
      <c r="B17" s="11" t="s">
        <v>3801</v>
      </c>
      <c r="C17" s="11" t="s">
        <v>3423</v>
      </c>
      <c r="D17" s="11" t="s">
        <v>3820</v>
      </c>
      <c r="E17" s="11" t="s">
        <v>3821</v>
      </c>
      <c r="F17" s="11" t="s">
        <v>3822</v>
      </c>
      <c r="G17" s="11" t="s">
        <v>3823</v>
      </c>
      <c r="H17" s="11" t="s">
        <v>135</v>
      </c>
      <c r="I17" s="11" t="s">
        <v>100</v>
      </c>
      <c r="J17" s="12" t="s">
        <v>3824</v>
      </c>
    </row>
    <row r="18" spans="1:10">
      <c r="A18" s="7" t="s">
        <v>3825</v>
      </c>
      <c r="B18" s="8" t="s">
        <v>3801</v>
      </c>
      <c r="C18" s="8" t="s">
        <v>3826</v>
      </c>
      <c r="D18" s="8" t="s">
        <v>3827</v>
      </c>
      <c r="E18" s="8" t="s">
        <v>3828</v>
      </c>
      <c r="F18" s="8" t="s">
        <v>3829</v>
      </c>
      <c r="G18" s="8" t="s">
        <v>3747</v>
      </c>
      <c r="H18" s="8" t="s">
        <v>1080</v>
      </c>
      <c r="I18" s="8" t="s">
        <v>101</v>
      </c>
      <c r="J18" s="9" t="s">
        <v>3775</v>
      </c>
    </row>
    <row r="19" spans="1:10">
      <c r="A19" s="13" t="s">
        <v>3830</v>
      </c>
      <c r="B19" s="14" t="s">
        <v>3801</v>
      </c>
      <c r="C19" s="14" t="s">
        <v>3831</v>
      </c>
      <c r="D19" s="14" t="s">
        <v>3832</v>
      </c>
      <c r="E19" s="14" t="s">
        <v>3833</v>
      </c>
      <c r="F19" s="14" t="s">
        <v>3834</v>
      </c>
      <c r="G19" s="14" t="s">
        <v>3835</v>
      </c>
      <c r="H19" s="14" t="s">
        <v>135</v>
      </c>
      <c r="I19" s="14" t="s">
        <v>100</v>
      </c>
      <c r="J19" s="15" t="s">
        <v>3836</v>
      </c>
    </row>
  </sheetData>
  <mergeCells count="2">
    <mergeCell ref="A1:J1"/>
    <mergeCell ref="A2:J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17</vt:i4>
      </vt:variant>
    </vt:vector>
  </HeadingPairs>
  <TitlesOfParts>
    <vt:vector size="17" baseType="lpstr">
      <vt:lpstr>使用说明</vt:lpstr>
      <vt:lpstr>产业链环节</vt:lpstr>
      <vt:lpstr>重点产品</vt:lpstr>
      <vt:lpstr>市场规模及盈利能力</vt:lpstr>
      <vt:lpstr>核心技术</vt:lpstr>
      <vt:lpstr>区域及产业集群</vt:lpstr>
      <vt:lpstr>政策清单</vt:lpstr>
      <vt:lpstr>重点企业</vt:lpstr>
      <vt:lpstr>重点项目及融资事件</vt:lpstr>
      <vt:lpstr>产业问题</vt:lpstr>
      <vt:lpstr>武汉城投公开资源</vt:lpstr>
      <vt:lpstr>企业及项目综合评分</vt:lpstr>
      <vt:lpstr>场景ROI测算</vt:lpstr>
      <vt:lpstr>数据来源索引</vt:lpstr>
      <vt:lpstr>更新变更日志</vt:lpstr>
      <vt:lpstr>数据缺口及待核实事项</vt:lpstr>
      <vt:lpstr>检索过程及饱和度记录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黄奕</cp:lastModifiedBy>
  <dcterms:created xsi:type="dcterms:W3CDTF">2026-07-30T03:27:00Z</dcterms:created>
  <dcterms:modified xsi:type="dcterms:W3CDTF">2026-07-31T09:05:06Z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1E2007C9D77E6DD46476696AE2D4E0C0_42</vt:lpwstr>
  </property>
  <property fmtid="{D5CDD505-2E9C-101B-9397-08002B2CF9AE}" pid="3" name="KSOProductBuildVer">
    <vt:lpwstr>2052-12.1.26035.26035</vt:lpwstr>
  </property>
  <property fmtid="{D5CDD505-2E9C-101B-9397-08002B2CF9AE}" pid="4" name="CalculationRule">
    <vt:i4>0</vt:i4>
  </property>
</Properties>
</file>